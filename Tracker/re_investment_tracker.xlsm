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7f75599ca0ae078/Professional/Catalina Finance/Tracker/"/>
    </mc:Choice>
  </mc:AlternateContent>
  <xr:revisionPtr revIDLastSave="44" documentId="8_{439914B0-AD4D-4B2E-9F53-5F0A8B5E854D}" xr6:coauthVersionLast="45" xr6:coauthVersionMax="45" xr10:uidLastSave="{0755D195-186C-4D28-8628-B926E28BFEF0}"/>
  <bookViews>
    <workbookView xWindow="-96" yWindow="360" windowWidth="16608" windowHeight="10680" firstSheet="2" activeTab="6" xr2:uid="{AAB15389-2660-4346-A09F-18A9E7B2F074}"/>
  </bookViews>
  <sheets>
    <sheet name="A" sheetId="10" r:id="rId1"/>
    <sheet name="B" sheetId="9" r:id="rId2"/>
    <sheet name="C" sheetId="8" r:id="rId3"/>
    <sheet name="D" sheetId="7" r:id="rId4"/>
    <sheet name="E" sheetId="6" r:id="rId5"/>
    <sheet name="summary" sheetId="5" r:id="rId6"/>
    <sheet name="investment_tracker" sheetId="4" r:id="rId7"/>
    <sheet name="tape_pol" sheetId="3" r:id="rId8"/>
    <sheet name="tape_noble" sheetId="2" r:id="rId9"/>
    <sheet name="tape_ppm" sheetId="1" r:id="rId10"/>
    <sheet name="variables" sheetId="12" r:id="rId11"/>
  </sheets>
  <definedNames>
    <definedName name="bor_address">investment_tracker!$L$11:$L$1048576</definedName>
    <definedName name="bor_city">investment_tracker!$M$11:$M$1048576</definedName>
    <definedName name="bor_fico">investment_tracker!$P$11:$P$1048576</definedName>
    <definedName name="bor_liq">investment_tracker!$Q$11:$Q$1048576</definedName>
    <definedName name="bor_name">investment_tracker!$K$11:$K$1048576</definedName>
    <definedName name="bor_state">investment_tracker!$N$11:$N$1048576</definedName>
    <definedName name="bor_zip">investment_tracker!$O$11:$O$1048576</definedName>
    <definedName name="draw_disbursed">investment_tracker!$AJ$11:$AJ$1048576</definedName>
    <definedName name="draw_remaining">investment_tracker!$AI$11:$AI$1048576</definedName>
    <definedName name="draw_total">investment_tracker!$AH$11:$AH$1048576</definedName>
    <definedName name="lender">investment_tracker!$A$11:$A$1048576</definedName>
    <definedName name="loan_exit_strat">investment_tracker!$AE$11:$AE$1048576</definedName>
    <definedName name="loan_id">investment_tracker!$B$11:$B$1048576</definedName>
    <definedName name="loan_ltaiv_ratio">investment_tracker!$AA$11:$AA$1048576</definedName>
    <definedName name="loan_ltarv_ratio">investment_tracker!$AC$11:$AC$1048576</definedName>
    <definedName name="loan_ltc_ratio">investment_tracker!$Y$11:$Y$1048576</definedName>
    <definedName name="loan_ltcb_ratio">investment_tracker!#REF!</definedName>
    <definedName name="loan_mat_date">investment_tracker!$S$11:$S$1048576</definedName>
    <definedName name="loan_opb">investment_tracker!$U$11:$U$1048576</definedName>
    <definedName name="loan_orig_date">investment_tracker!$R$11:$R$1048576</definedName>
    <definedName name="loan_term">investment_tracker!$T$11:$T$1048576</definedName>
    <definedName name="loan_total_draw">investment_tracker!$W$11:$W$1048576</definedName>
    <definedName name="loan_type">investment_tracker!$AF$11:$AF$1048576</definedName>
    <definedName name="loan_upb">investment_tracker!$V$11:$V$1048576</definedName>
    <definedName name="loans_position">investment_tracker!$X$11:$X$1048576</definedName>
    <definedName name="prop_address">investment_tracker!$C$11:$C$1048576</definedName>
    <definedName name="prop_aiv_ratio">investment_tracker!$G$11:$G$1048576</definedName>
    <definedName name="prop_arv_ratio">investment_tracker!$H$11:$H$1048576</definedName>
    <definedName name="prop_city">investment_tracker!$D$11:$D$1048576</definedName>
    <definedName name="prop_cost_basis">investment_tracker!$J$11:$J$1048576</definedName>
    <definedName name="prop_state">investment_tracker!$E$11:$E$1048576</definedName>
    <definedName name="prop_type">investment_tracker!$I$11:$I$1048576</definedName>
    <definedName name="prop_zip">investment_tracker!$F$11:$F$1048576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<sst xmlns="http://schemas.openxmlformats.org/spreadsheetml/2006/main" count="989" uniqueCount="435">
  <si>
    <t>Property</t>
  </si>
  <si>
    <t>Active/Paid Off or N/A</t>
  </si>
  <si>
    <t>Loan Number</t>
  </si>
  <si>
    <t>Multi-Lender Y/N</t>
  </si>
  <si>
    <t>Lien Status</t>
  </si>
  <si>
    <t>Original Loan Amount</t>
  </si>
  <si>
    <t>Term</t>
  </si>
  <si>
    <t>Close</t>
  </si>
  <si>
    <t>Maturity</t>
  </si>
  <si>
    <t>Note Rate</t>
  </si>
  <si>
    <t>Sold Rate</t>
  </si>
  <si>
    <t>LTV</t>
  </si>
  <si>
    <t>Serviced</t>
  </si>
  <si>
    <t>Bus/ Cons</t>
  </si>
  <si>
    <t>Borrower FICO</t>
  </si>
  <si>
    <t>Market Value</t>
  </si>
  <si>
    <t>Payoff Date</t>
  </si>
  <si>
    <t>Actual Term of paid off loans</t>
  </si>
  <si>
    <t>552 East Palmyra Avenue., Orange, CA 92866; 465 10th St., San Francisco, CA 94103</t>
  </si>
  <si>
    <t>Paid off</t>
  </si>
  <si>
    <t>2016-1213</t>
  </si>
  <si>
    <t>Y</t>
  </si>
  <si>
    <t>2nd</t>
  </si>
  <si>
    <t>ppm</t>
  </si>
  <si>
    <t>Cons</t>
  </si>
  <si>
    <t>1069 Westridge Ave., Danville, CA 94526</t>
  </si>
  <si>
    <t>2016-1219</t>
  </si>
  <si>
    <t>1st</t>
  </si>
  <si>
    <t>PPM</t>
  </si>
  <si>
    <t>165 Nymph Rd., Bolinas, CA 94924</t>
  </si>
  <si>
    <t>2017-0217</t>
  </si>
  <si>
    <t>N</t>
  </si>
  <si>
    <t>1617 Fernwood Dr., Oakland 94611; 218 Peppermint Tree Terrace#3 Sunnyvale, 94086</t>
  </si>
  <si>
    <t>2017-0303</t>
  </si>
  <si>
    <t>1401 Quesada Ave, San Francisco, CA 94124</t>
  </si>
  <si>
    <t>2017-0308</t>
  </si>
  <si>
    <t>con</t>
  </si>
  <si>
    <t>1685 Tacoma Ave, Berkeley, CA 94707</t>
  </si>
  <si>
    <t>Active</t>
  </si>
  <si>
    <t>2017-0320</t>
  </si>
  <si>
    <t>na</t>
  </si>
  <si>
    <t>27575 Loma Del Rey, Carmel, CA 93923</t>
  </si>
  <si>
    <t>2017-0324</t>
  </si>
  <si>
    <t>Con</t>
  </si>
  <si>
    <t>919 e. MacArthur St, Sonoma, CA 95476; 424 Denmark St, Sonoma, CA 94576</t>
  </si>
  <si>
    <t>2017-0327</t>
  </si>
  <si>
    <t>1+2</t>
  </si>
  <si>
    <t>50350 Vista Montana, La Quinta, CA 92253</t>
  </si>
  <si>
    <t>2017-0328</t>
  </si>
  <si>
    <t>19 Crystal Creek Ct., Larkspur, CA 94939</t>
  </si>
  <si>
    <t>2017-0329</t>
  </si>
  <si>
    <t>2355 Holly Oak Dr Danville CA 94506; 316 South Eagle Nest Lane Danville CA 94506</t>
  </si>
  <si>
    <t>2017-0410</t>
  </si>
  <si>
    <t>1st+2nd</t>
  </si>
  <si>
    <t>Superior</t>
  </si>
  <si>
    <t>Bus</t>
  </si>
  <si>
    <t>1890 Marion Avenue Novato CA 94945</t>
  </si>
  <si>
    <t>2017-0419</t>
  </si>
  <si>
    <t>14539 Sun Forest Dr Penn Valley CA 954946</t>
  </si>
  <si>
    <t>2017-0421</t>
  </si>
  <si>
    <t>151 Jarvis Circle Sacramento CA 95834</t>
  </si>
  <si>
    <t>2017-0507</t>
  </si>
  <si>
    <t>287 Los Laureles Grade Rd Carmel Valley, CA 93924</t>
  </si>
  <si>
    <t>2017-0508</t>
  </si>
  <si>
    <t>507 Cavalier Court, Fairfield, CA 94534</t>
  </si>
  <si>
    <t>2017-0515</t>
  </si>
  <si>
    <t>27 Maple Ave Kentfield; 115 Hidden Valley Lane san anselmo; 471 29th St San Francisco</t>
  </si>
  <si>
    <t>2017-0516</t>
  </si>
  <si>
    <t>7288 Orchard Circle Penryn Ca 95663</t>
  </si>
  <si>
    <t>2017-0602</t>
  </si>
  <si>
    <t>1264 South Clover Ave. Campbell, CA 95008</t>
  </si>
  <si>
    <t>2017-0608</t>
  </si>
  <si>
    <t>8643 Thors Bay Rd. El Cerrito, CA 94530</t>
  </si>
  <si>
    <t>2017-0613</t>
  </si>
  <si>
    <t>3136 Bradshaw Rd Wheatland CA 95692</t>
  </si>
  <si>
    <t>2017-0627</t>
  </si>
  <si>
    <t>244 Granada Dr. Corte Madera, CA 94925; 13 Enterprise Dr. Corte Madera, CA 94925</t>
  </si>
  <si>
    <t>2017-0707</t>
  </si>
  <si>
    <t>WAG</t>
  </si>
  <si>
    <t>1887 Mulberry St. Yountville CA 94599; 53 Homestead Blvd Mill Valley CA 94941</t>
  </si>
  <si>
    <t>2017-0718</t>
  </si>
  <si>
    <t>Wag</t>
  </si>
  <si>
    <t>322 King Drive South San Francisco Ca 94080; 63 Northcrest Drive South San Francisco CA 94080</t>
  </si>
  <si>
    <t>2017-0801</t>
  </si>
  <si>
    <t>601 Southview Court Placerville CA 95667; 18010 Yosemite Road Tuolemne CA 95379</t>
  </si>
  <si>
    <t>2017-0813</t>
  </si>
  <si>
    <t>2838 Springwood Drive South Lake Tahoe CA 96150</t>
  </si>
  <si>
    <t>2017-0814</t>
  </si>
  <si>
    <t>3264 Encinal Avenue Alameda CA 94501</t>
  </si>
  <si>
    <t>2017-0906</t>
  </si>
  <si>
    <t>238 Park Place Drive Petaluma CA 94954; 132 Clover Springs Drive Cloverdale CA 95425</t>
  </si>
  <si>
    <t>2017-0919</t>
  </si>
  <si>
    <t>190 Rancho Drive Belvedere Tiburon CA 94920; 35 Rancho Drive Belvedere Tiburon CA 94920</t>
  </si>
  <si>
    <t>2017-0921</t>
  </si>
  <si>
    <t>1st + 2nd</t>
  </si>
  <si>
    <t>103 Pixley Ave Corte Madera CA 94925; 122 Stanford Way Sausalito CA 94965</t>
  </si>
  <si>
    <t>2017-1006</t>
  </si>
  <si>
    <t>1261 Santa Maria Street Los Banos CA 93635</t>
  </si>
  <si>
    <t>2017-1018</t>
  </si>
  <si>
    <t>311 6th Street Wheatland CA 95692; 3011 Coopers Hawk Loop Lincoln CA 95648</t>
  </si>
  <si>
    <t>2017-1026</t>
  </si>
  <si>
    <t>768 Normandy Rd Encitas CA; 5408 North Tyler Avenue Arcadia CA 91006</t>
  </si>
  <si>
    <t>2017-1115</t>
  </si>
  <si>
    <t>10520 Stella Street Oakland CA 94605; 1542 21st Avenue San Francisco CA 94122</t>
  </si>
  <si>
    <t>2017-1121</t>
  </si>
  <si>
    <t>1795 Mistler Street Dixon CA 95620</t>
  </si>
  <si>
    <t>2017-1123</t>
  </si>
  <si>
    <t>6773 Portshead Road Malibu CA 90265</t>
  </si>
  <si>
    <t>2017-1128</t>
  </si>
  <si>
    <t>12321 Gigli Ct Los Altos CA 94022; 15 Rolling Hills Ave San Mateo CA 94403</t>
  </si>
  <si>
    <t>2017-1214</t>
  </si>
  <si>
    <t>8054 Chardonay Ct San Jose CA 95135; 1484 Cedar Place Los Altos CA 94024</t>
  </si>
  <si>
    <t>2017-1221</t>
  </si>
  <si>
    <t>46 Ocean View Ave Dillon Beach CA 94929; 9566 Main St Penngrove CA 94951</t>
  </si>
  <si>
    <t>2018-0104</t>
  </si>
  <si>
    <t>4335 Cedarhurst Circle Los Angeles CA 90027-2106</t>
  </si>
  <si>
    <t>2018-0203</t>
  </si>
  <si>
    <t>321 North San Pedro Road San Rafael, CA 94903</t>
  </si>
  <si>
    <t>2018-0228</t>
  </si>
  <si>
    <t>583 Canyon Road Redwood City CA 94062</t>
  </si>
  <si>
    <t>2018-0301</t>
  </si>
  <si>
    <t>7 Highland Avenue San Rafael CA 94901</t>
  </si>
  <si>
    <t>2018-0302</t>
  </si>
  <si>
    <t>45 Carob Way Novato CA 94945; 2873 Bouveron Court San Jose CA 95148</t>
  </si>
  <si>
    <t>2018-0306x</t>
  </si>
  <si>
    <t>404 Snapdragon Lane Lincoln CA 95648; 933 Alla Court Concord CA 94518</t>
  </si>
  <si>
    <t>2018-0312x</t>
  </si>
  <si>
    <t>45041 Casas De Mariposa Indian Wells CA 92210; 5313 Spilman Avenue Sacramento CA 95819</t>
  </si>
  <si>
    <t>2018-0316x</t>
  </si>
  <si>
    <t>804 North The Strand #8 Oceanside CA 92054; 41315 Gallop Lane Murrieta CA 92562</t>
  </si>
  <si>
    <t>2018-0322</t>
  </si>
  <si>
    <t>554 Santa Maria Terrace #4 Sunnyvale CA 94085</t>
  </si>
  <si>
    <t>2018-0401</t>
  </si>
  <si>
    <t>4317 Grandview Way Rohnert Park CA 94928</t>
  </si>
  <si>
    <t>2018-0419</t>
  </si>
  <si>
    <t>5058 Brentford Way El Dorado Hills CA 95762</t>
  </si>
  <si>
    <t>2018-0426</t>
  </si>
  <si>
    <t>378 Felton Drive Menlo Park CA 94025; 500 2nd Street San Francisco CA 94107</t>
  </si>
  <si>
    <t>2018-0427</t>
  </si>
  <si>
    <t>12130 Highway 116 Guernville CA 95446; 3085 Monterey Blvd Oakland CA 94602</t>
  </si>
  <si>
    <t>2018-0516</t>
  </si>
  <si>
    <t>106 Larkspur Loop Morgan Hill CA 95037</t>
  </si>
  <si>
    <t>2018-0605</t>
  </si>
  <si>
    <t>195-174-23 Stinson Beach CA 94941; 1850 University Way San Jose CA 95126</t>
  </si>
  <si>
    <t>2018-0628</t>
  </si>
  <si>
    <t>FCI</t>
  </si>
  <si>
    <t>113 Leslie Street Ukiah CA 95482</t>
  </si>
  <si>
    <t>2018-0702</t>
  </si>
  <si>
    <t>216 Longford Drive South San Francisco</t>
  </si>
  <si>
    <t>2018-0706</t>
  </si>
  <si>
    <t>3046 Stone Station Sebastopol CA 95472; 900 Bush Street PH#5 San Francisco CA 94109</t>
  </si>
  <si>
    <t>2018-0709</t>
  </si>
  <si>
    <t>1000 Francis Court Folsom CA 95630; 7900 Crossridge Rd Dublin CA 94568</t>
  </si>
  <si>
    <t>2018-0713</t>
  </si>
  <si>
    <t>1038 Mangrove Lane Alameda 94502; 1011 Kingston Lane Alameda 94502</t>
  </si>
  <si>
    <t>2018-0714</t>
  </si>
  <si>
    <t>19177 Carlton Avenue Castro Valley CA 94546</t>
  </si>
  <si>
    <t>2018-0716</t>
  </si>
  <si>
    <t>2827 Shenandoah Drive Chula Vista CA 91914</t>
  </si>
  <si>
    <t>2018-0718</t>
  </si>
  <si>
    <t>7 Rutherford Avenue San Anselmo CA 94960</t>
  </si>
  <si>
    <t>2018-0719</t>
  </si>
  <si>
    <t>2239 Stradella Road Los Angeles CA 9007; 84 Buena Vista Avenue Mill Valley CA 94941</t>
  </si>
  <si>
    <t>2018-0727</t>
  </si>
  <si>
    <t>1691 Southview Drive Petaluma, CA 94954; 1105 I Street Petaluma, CA 94952</t>
  </si>
  <si>
    <t>2018-0729</t>
  </si>
  <si>
    <t>4907 Noble Court Winters CA 95694</t>
  </si>
  <si>
    <t>2018-0802</t>
  </si>
  <si>
    <t>2261 Mantelli Drive Gilroy CA 95020</t>
  </si>
  <si>
    <t>2018-0809</t>
  </si>
  <si>
    <t>224 Morning Sun Avenue Mill Valley CA 94941</t>
  </si>
  <si>
    <t>2018-0906</t>
  </si>
  <si>
    <t>4191 Kilt Circle El Dorado Hills CA 95762; 942 Alameda De Las Pulgas San Carlos CA 94070</t>
  </si>
  <si>
    <t>2018-0913</t>
  </si>
  <si>
    <t>740 Bolinas Road Fairfax CA 94930</t>
  </si>
  <si>
    <t>2018-0914</t>
  </si>
  <si>
    <t>25 Stirrup Lane Novato CA 94947; 1365 Denlyn St Novato CA 94945</t>
  </si>
  <si>
    <t>2018-0920</t>
  </si>
  <si>
    <t>2284 Paris Avenue Redding CA 96001</t>
  </si>
  <si>
    <t>2018-0922</t>
  </si>
  <si>
    <t>4250 Sadao Court Palm Springs CA 92262; 68 Burlwood Drive San Francisco CA 94127</t>
  </si>
  <si>
    <t>2018-0923</t>
  </si>
  <si>
    <t>107 Marcus Ave Richmond CA 94801; 321 Market Avenue Richmond CA 94801</t>
  </si>
  <si>
    <t>2018-0924</t>
  </si>
  <si>
    <t>2516 Sasparilla Court Rocklin CA 95765; 636 Shenandoah Ave San Marcos CA 92078</t>
  </si>
  <si>
    <t>2018-1015</t>
  </si>
  <si>
    <t>26776 Almaden Ct Los Altos CA 94022; 903 Camille Lane Mountain View CA 94040</t>
  </si>
  <si>
    <t>2018-1026</t>
  </si>
  <si>
    <t>472 Oakbrook Ct Santa Rosa, CA 95409; 1820 Mariposa Way Brentwood CA 94513</t>
  </si>
  <si>
    <t>2018-1101</t>
  </si>
  <si>
    <t>261 North Sunnyvale Avenue Sunnyvale CA 94086</t>
  </si>
  <si>
    <t>2018-1112</t>
  </si>
  <si>
    <t>159 Cazneau Avenue Sausalito CA 94965</t>
  </si>
  <si>
    <t>2018-1113</t>
  </si>
  <si>
    <t>4029 Via Pavlon Palos Verdes Peninsula CA 90274</t>
  </si>
  <si>
    <t>2018-1125</t>
  </si>
  <si>
    <t>382 Dorado Way South San Francisco CA 94080; 145 Conejo Drive Millbrae CA 94030</t>
  </si>
  <si>
    <t>2018-1126</t>
  </si>
  <si>
    <t>1618 Mellowood St Oakley CA 94561</t>
  </si>
  <si>
    <t>2018-1223</t>
  </si>
  <si>
    <t>2117 Falcon Ridge Drive Petaluma CA 94954; 1173 San Rafael Drive Petaluma CA 94954</t>
  </si>
  <si>
    <t>2019-0114</t>
  </si>
  <si>
    <t>Loan #</t>
  </si>
  <si>
    <t>Borrowing Entity</t>
  </si>
  <si>
    <t>Address</t>
  </si>
  <si>
    <t>County</t>
  </si>
  <si>
    <t>City</t>
  </si>
  <si>
    <t>State</t>
  </si>
  <si>
    <t>Zip</t>
  </si>
  <si>
    <t>Origination Date</t>
  </si>
  <si>
    <t>Loan Amount</t>
  </si>
  <si>
    <t>Current Balance</t>
  </si>
  <si>
    <t>Current Rehab Amount</t>
  </si>
  <si>
    <t>Next Due Payment</t>
  </si>
  <si>
    <t>ARV</t>
  </si>
  <si>
    <t>Total Cost</t>
  </si>
  <si>
    <t>LTC</t>
  </si>
  <si>
    <t>Rate</t>
  </si>
  <si>
    <t>Credit</t>
  </si>
  <si>
    <t>Mo. Payment</t>
  </si>
  <si>
    <t>Maturity Date</t>
  </si>
  <si>
    <t>Type</t>
  </si>
  <si>
    <t>Monty C Investments, LLC</t>
  </si>
  <si>
    <t>1009 Romeria 2</t>
  </si>
  <si>
    <t>Travis</t>
  </si>
  <si>
    <t>Austin</t>
  </si>
  <si>
    <t>TX</t>
  </si>
  <si>
    <t>746/769</t>
  </si>
  <si>
    <t>Acq + Reno</t>
  </si>
  <si>
    <t>Waterloo City Construction, LLC</t>
  </si>
  <si>
    <t>6503 Felix B</t>
  </si>
  <si>
    <t>Refi+CO+Cons</t>
  </si>
  <si>
    <t>Community Development Group, LLC</t>
  </si>
  <si>
    <t>711 Whitney A</t>
  </si>
  <si>
    <t>Harris</t>
  </si>
  <si>
    <t>Houston</t>
  </si>
  <si>
    <t>709, 743, 738, 559</t>
  </si>
  <si>
    <t>Acq + NC</t>
  </si>
  <si>
    <t>CONSIGLIA ENTERPRISES, LLC</t>
  </si>
  <si>
    <t>110 W 55th</t>
  </si>
  <si>
    <t>Triple B Multi-Solutions, LLC</t>
  </si>
  <si>
    <t>215 Bundy</t>
  </si>
  <si>
    <t>Bexar</t>
  </si>
  <si>
    <t>San Antonio</t>
  </si>
  <si>
    <t>Refi + NC</t>
  </si>
  <si>
    <t>Cordova Solutions LLC</t>
  </si>
  <si>
    <t>776 Cattle</t>
  </si>
  <si>
    <t>Hays</t>
  </si>
  <si>
    <t>Dripping Springs</t>
  </si>
  <si>
    <t>Refi + CO</t>
  </si>
  <si>
    <t>Grover Investment, LLC</t>
  </si>
  <si>
    <t>7302 Rhobell Street</t>
  </si>
  <si>
    <t>Black Dot Builders, LLC</t>
  </si>
  <si>
    <t>6217 Clovis St Unit A</t>
  </si>
  <si>
    <t>MKM Superior Homes, LLC</t>
  </si>
  <si>
    <t>4226 Honea Egypt Rd</t>
  </si>
  <si>
    <t>Montgomery</t>
  </si>
  <si>
    <t>ATR Financial Interests, LLC</t>
  </si>
  <si>
    <t>1442 Bob White</t>
  </si>
  <si>
    <t>Comal</t>
  </si>
  <si>
    <t>Spring Branch</t>
  </si>
  <si>
    <t>167 High Point</t>
  </si>
  <si>
    <t>360 Degree Construction, LLC</t>
  </si>
  <si>
    <t>935 E 51st St Unit A</t>
  </si>
  <si>
    <t>AAA Home Builder LLC</t>
  </si>
  <si>
    <t>9007 Daytonia Ave</t>
  </si>
  <si>
    <t>Dallas</t>
  </si>
  <si>
    <t>Transom Capital, LLC</t>
  </si>
  <si>
    <t>2011 E 11th Street</t>
  </si>
  <si>
    <t>768/683</t>
  </si>
  <si>
    <t>GBMC HOLDING,LLC</t>
  </si>
  <si>
    <t>1150 N Academy Unit A</t>
  </si>
  <si>
    <t>New Braunfels</t>
  </si>
  <si>
    <t>New Day Custom Homes, LLC</t>
  </si>
  <si>
    <t>209 Ciela Vista</t>
  </si>
  <si>
    <t>Gaudalupe</t>
  </si>
  <si>
    <t>Seguin</t>
  </si>
  <si>
    <t>514 POWELL B</t>
  </si>
  <si>
    <t>AUSTIN</t>
  </si>
  <si>
    <t>MKM Superior Homes</t>
  </si>
  <si>
    <t>24530 Bentwood Dr</t>
  </si>
  <si>
    <t>Waller</t>
  </si>
  <si>
    <t>Hockley</t>
  </si>
  <si>
    <t>AAA Home Builder, LLC</t>
  </si>
  <si>
    <t>1504 San Saba Drive</t>
  </si>
  <si>
    <t>LTH Builders Fund II, LLC</t>
  </si>
  <si>
    <t>1510 &amp; 1514 Laird Street UNIT A</t>
  </si>
  <si>
    <t>Brownstone Living, LLC</t>
  </si>
  <si>
    <t>1433 Alexander LOT 766</t>
  </si>
  <si>
    <t>785/598/633</t>
  </si>
  <si>
    <t>RECreate Austin, LLC</t>
  </si>
  <si>
    <t>5521 Woodview Lot A</t>
  </si>
  <si>
    <t>703/744</t>
  </si>
  <si>
    <t>713 Brownlee Holdings, LLC</t>
  </si>
  <si>
    <t>713 Brownlee circle</t>
  </si>
  <si>
    <t>$ -</t>
  </si>
  <si>
    <t>Skymark Management, LLC</t>
  </si>
  <si>
    <t>4613 Greenlee Dr</t>
  </si>
  <si>
    <t>Bell</t>
  </si>
  <si>
    <t>Killeen</t>
  </si>
  <si>
    <t>Acq</t>
  </si>
  <si>
    <t>202 Patterson</t>
  </si>
  <si>
    <t>Coryell</t>
  </si>
  <si>
    <t>Copperas Cove</t>
  </si>
  <si>
    <t>Askeaton Realty, LLC</t>
  </si>
  <si>
    <t>Central IDZ</t>
  </si>
  <si>
    <t>BEXAR</t>
  </si>
  <si>
    <t>SAN ANTONIO</t>
  </si>
  <si>
    <t>Lawless Ventures, LLC</t>
  </si>
  <si>
    <t>3020 Geronimo Trl</t>
  </si>
  <si>
    <t>Loan ID</t>
  </si>
  <si>
    <t>Loan Status</t>
  </si>
  <si>
    <t>Primary Property Address</t>
  </si>
  <si>
    <t>Product Type</t>
  </si>
  <si>
    <t>Disbursed at Closing</t>
  </si>
  <si>
    <t>Total Renovation Budget</t>
  </si>
  <si>
    <t>Primary Guarantor Name</t>
  </si>
  <si>
    <t>Property Type</t>
  </si>
  <si>
    <t>Funding Source</t>
  </si>
  <si>
    <t>Interest Rate</t>
  </si>
  <si>
    <t>Title Order Date</t>
  </si>
  <si>
    <t>Title Received</t>
  </si>
  <si>
    <t>Loan Officer: Full Name</t>
  </si>
  <si>
    <t>Loan Term</t>
  </si>
  <si>
    <t>Appraisal Received</t>
  </si>
  <si>
    <t>Estimated As-Is Value</t>
  </si>
  <si>
    <t>Estimated After Renovation Value</t>
  </si>
  <si>
    <t>As-Is Value</t>
  </si>
  <si>
    <t>After Renovation Value</t>
  </si>
  <si>
    <t>Total Purchase Price</t>
  </si>
  <si>
    <t>Wire Sent Date</t>
  </si>
  <si>
    <t>Scheduled Closing Date</t>
  </si>
  <si>
    <t>Q.C. REVIEW</t>
  </si>
  <si>
    <t>814 Steuben St., Pittsburgh, PA, 15220</t>
  </si>
  <si>
    <t>814 Steuben St.</t>
  </si>
  <si>
    <t>Pittsburgh</t>
  </si>
  <si>
    <t>PA</t>
  </si>
  <si>
    <t>Residential - Refinance</t>
  </si>
  <si>
    <t>Sterling Miles</t>
  </si>
  <si>
    <t>Steven Weinstock</t>
  </si>
  <si>
    <t>105 Red Oak Dr.,, Vicksburg, MS, 39180</t>
  </si>
  <si>
    <t>105 Red Oak Dr.</t>
  </si>
  <si>
    <t>Vicksburg</t>
  </si>
  <si>
    <t>MS</t>
  </si>
  <si>
    <t>Track</t>
  </si>
  <si>
    <t>226 Polar Rock Rd. SW, Altanta, GA, 30315</t>
  </si>
  <si>
    <t>226 Polar Rock Rd. SW</t>
  </si>
  <si>
    <t>Altanta</t>
  </si>
  <si>
    <t>GA</t>
  </si>
  <si>
    <t>410 Bank St., Leadwood, MA, 63653</t>
  </si>
  <si>
    <t>410 Bank St.</t>
  </si>
  <si>
    <t>Leadwood</t>
  </si>
  <si>
    <t>MA</t>
  </si>
  <si>
    <t>22711 State Highway 13, Glidden, WI, 54527</t>
  </si>
  <si>
    <t>22711 State Highway 13</t>
  </si>
  <si>
    <t>Glidden</t>
  </si>
  <si>
    <t>WI</t>
  </si>
  <si>
    <t>226 Swan St., Huntington, IN, 46750</t>
  </si>
  <si>
    <t>226 Swan St.</t>
  </si>
  <si>
    <t>Huntington</t>
  </si>
  <si>
    <t>IN</t>
  </si>
  <si>
    <t>SUSPENDED</t>
  </si>
  <si>
    <t>716 Bayley Place SE, Washington, DC, 20019</t>
  </si>
  <si>
    <t>716 Bayley Place SE</t>
  </si>
  <si>
    <t>Washington</t>
  </si>
  <si>
    <t>DC</t>
  </si>
  <si>
    <t>Hicham Moutawakil</t>
  </si>
  <si>
    <t>Crowd</t>
  </si>
  <si>
    <t>APPLICATION</t>
  </si>
  <si>
    <t>203 Cherokee St, New Orleans, LA, 70118</t>
  </si>
  <si>
    <t>203 Cherokee St</t>
  </si>
  <si>
    <t>New Orleans</t>
  </si>
  <si>
    <t>LA</t>
  </si>
  <si>
    <t>Charles Mendy</t>
  </si>
  <si>
    <t>Joe Fritton</t>
  </si>
  <si>
    <t>lender</t>
  </si>
  <si>
    <t>loan_id</t>
  </si>
  <si>
    <t>prop_address</t>
  </si>
  <si>
    <t>prop_city</t>
  </si>
  <si>
    <t>prop_state</t>
  </si>
  <si>
    <t>prop_zip</t>
  </si>
  <si>
    <t>prop_type</t>
  </si>
  <si>
    <t>bor_name</t>
  </si>
  <si>
    <t>bor_address</t>
  </si>
  <si>
    <t>bor_city</t>
  </si>
  <si>
    <t>bor_state</t>
  </si>
  <si>
    <t>bor_zip</t>
  </si>
  <si>
    <t>bor_fico</t>
  </si>
  <si>
    <t>bor_liq</t>
  </si>
  <si>
    <t>prop_cost_basis</t>
  </si>
  <si>
    <t>loan_exit_strat</t>
  </si>
  <si>
    <t>loan_type</t>
  </si>
  <si>
    <t>loan_term</t>
  </si>
  <si>
    <t>loan_opb</t>
  </si>
  <si>
    <t>loan_upb</t>
  </si>
  <si>
    <t>loan_total_draw</t>
  </si>
  <si>
    <t>draw_total</t>
  </si>
  <si>
    <t>draw_remaining</t>
  </si>
  <si>
    <t>draw_disbursed</t>
  </si>
  <si>
    <t>pol</t>
  </si>
  <si>
    <t>Patch Of Land</t>
  </si>
  <si>
    <t>Noble Capital</t>
  </si>
  <si>
    <t>noble</t>
  </si>
  <si>
    <t>loan_orig_date</t>
  </si>
  <si>
    <t>loan_mat_date</t>
  </si>
  <si>
    <t>key</t>
  </si>
  <si>
    <t>cons</t>
  </si>
  <si>
    <t>renov</t>
  </si>
  <si>
    <t>refi_cons</t>
  </si>
  <si>
    <t>refi_renov</t>
  </si>
  <si>
    <t>New Construction</t>
  </si>
  <si>
    <t>Renovate and Sell</t>
  </si>
  <si>
    <t>Refi Construction</t>
  </si>
  <si>
    <t>Refi Renovate</t>
  </si>
  <si>
    <t>Single Family Residence</t>
  </si>
  <si>
    <t>sfr</t>
  </si>
  <si>
    <t>2-4 Plex</t>
  </si>
  <si>
    <t>multi</t>
  </si>
  <si>
    <t>Planned Urban Development</t>
  </si>
  <si>
    <t>pud</t>
  </si>
  <si>
    <t>condo</t>
  </si>
  <si>
    <t>Condominium / Townhome</t>
  </si>
  <si>
    <t>Commercial</t>
  </si>
  <si>
    <t>cre</t>
  </si>
  <si>
    <t>draw_requested</t>
  </si>
  <si>
    <t/>
  </si>
  <si>
    <t>loan_position</t>
  </si>
  <si>
    <t>prop_aiv</t>
  </si>
  <si>
    <t>prop_arv</t>
  </si>
  <si>
    <t>loan_ltc_ratio_stated</t>
  </si>
  <si>
    <t>loan_ltc_ratio_calc</t>
  </si>
  <si>
    <t>loan_ltaiv_ratio_stated</t>
  </si>
  <si>
    <t>loan_ltaiv_ratio_calc</t>
  </si>
  <si>
    <t>loan_ltarv_ratio_stated</t>
  </si>
  <si>
    <t>loan_ltarv_ratio_calc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</si>
</sst>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6" fontId="1" fillId="0" borderId="0" xfId="0" applyNumberFormat="1" applyFont="1"/>
    <xf numFmtId="14" fontId="1" fillId="0" borderId="0" xfId="0" applyNumberFormat="1" applyFont="1"/>
    <xf numFmtId="10" fontId="1" fillId="0" borderId="0" xfId="0" applyNumberFormat="1" applyFont="1"/>
    <xf numFmtId="8" fontId="1" fillId="0" borderId="0" xfId="0" applyNumberFormat="1" applyFont="1"/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</cellXfs>
  <cellStyles count="1">
    <cellStyle name="Normal" xfId="0" builtinId="0"/>
  </cellStyles>
  <dxfs count="11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C257F-FFB4-4639-9720-F8DFCE6090DD}">
  <dimension ref="A1"/>
  <sheetViews>
    <sheetView showGridLines="0" zoomScale="75" zoomScaleNormal="75" workbookViewId="0"/>
  </sheetViews>
  <sheetFormatPr defaultRowHeight="12.3" x14ac:dyDescent="0.4"/>
  <cols>
    <col min="1" max="16384" width="8.83984375" style="1"/>
  </cols>
  <sheetData/>
  <conditionalFormatting sqref="A1:XFD1048576">
    <cfRule type="expression" dxfId="10" priority="1">
      <formula>(AND(ISNUMBER(A1), NOT(_xlfn.ISFORMULA(A1)),NOT(ISBLANK(A1))))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58EC1-7576-4511-9C50-BA60C77B6139}">
  <dimension ref="A1"/>
  <sheetViews>
    <sheetView showGridLines="0" zoomScale="75" zoomScaleNormal="75" workbookViewId="0"/>
  </sheetViews>
  <sheetFormatPr defaultRowHeight="12.3" x14ac:dyDescent="0.4"/>
  <cols>
    <col min="1" max="16384" width="8.83984375" style="1"/>
  </cols>
  <sheetData/>
  <conditionalFormatting sqref="A1:XFD1048576">
    <cfRule type="expression" dxfId="9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B2A4-6BFD-4A36-BE0A-3AB7CC29CF45}">
  <dimension ref="A1"/>
  <sheetViews>
    <sheetView showGridLines="0" zoomScale="75" zoomScaleNormal="75" workbookViewId="0"/>
  </sheetViews>
  <sheetFormatPr defaultRowHeight="12.3" x14ac:dyDescent="0.4"/>
  <cols>
    <col min="1" max="16384" width="8.83984375" style="1"/>
  </cols>
  <sheetData/>
  <conditionalFormatting sqref="A1:XFD1048576">
    <cfRule type="expression" dxfId="8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BC35C-6E24-45DD-BDDC-6F02E2BC2B14}">
  <dimension ref="A1"/>
  <sheetViews>
    <sheetView showGridLines="0" zoomScale="75" zoomScaleNormal="75" workbookViewId="0"/>
  </sheetViews>
  <sheetFormatPr defaultRowHeight="12.3" x14ac:dyDescent="0.4"/>
  <cols>
    <col min="1" max="16384" width="8.83984375" style="1"/>
  </cols>
  <sheetData/>
  <conditionalFormatting sqref="A1:XFD1048576">
    <cfRule type="expression" dxfId="7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145D-4DD7-4C49-AA9A-2DE1098A4C91}">
  <dimension ref="A1"/>
  <sheetViews>
    <sheetView showGridLines="0" zoomScale="75" zoomScaleNormal="75" workbookViewId="0"/>
  </sheetViews>
  <sheetFormatPr defaultRowHeight="12.3" x14ac:dyDescent="0.4"/>
  <cols>
    <col min="1" max="16384" width="8.83984375" style="1"/>
  </cols>
  <sheetData/>
  <conditionalFormatting sqref="A1:XFD1048576">
    <cfRule type="expression" dxfId="6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04DA6-CC85-4A36-9E05-C964A596A466}">
  <dimension ref="A1"/>
  <sheetViews>
    <sheetView showGridLines="0" zoomScale="75" zoomScaleNormal="75" workbookViewId="0"/>
  </sheetViews>
  <sheetFormatPr defaultRowHeight="12.3" x14ac:dyDescent="0.4"/>
  <cols>
    <col min="1" max="16384" width="8.83984375" style="1"/>
  </cols>
  <sheetData/>
  <conditionalFormatting sqref="A1:XFD1048576">
    <cfRule type="expression" dxfId="5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4090-7BD7-474F-A143-175F95A3F544}">
  <dimension ref="A10:AJ20"/>
  <sheetViews>
    <sheetView showGridLines="0" tabSelected="1" zoomScale="75" zoomScaleNormal="75" workbookViewId="0">
      <selection activeCell="A10" sqref="A10"/>
    </sheetView>
  </sheetViews>
  <sheetFormatPr defaultColWidth="15.578125" defaultRowHeight="12.3" x14ac:dyDescent="0.4"/>
  <cols>
    <col min="1" max="5" width="15.578125" style="1"/>
    <col min="6" max="6" width="16.1015625" style="1" bestFit="1" customWidth="1"/>
    <col min="7" max="16384" width="15.578125" style="1"/>
  </cols>
  <sheetData>
    <row r="10" spans="1:36" s="6" customFormat="1" x14ac:dyDescent="0.4">
      <c r="A10" s="11" t="s">
        <v>375</v>
      </c>
      <c r="B10" s="11" t="s">
        <v>376</v>
      </c>
      <c r="C10" s="7" t="s">
        <v>377</v>
      </c>
      <c r="D10" s="7" t="s">
        <v>378</v>
      </c>
      <c r="E10" s="7" t="s">
        <v>379</v>
      </c>
      <c r="F10" s="7" t="s">
        <v>380</v>
      </c>
      <c r="G10" s="7" t="s">
        <v>427</v>
      </c>
      <c r="H10" s="7" t="s">
        <v>428</v>
      </c>
      <c r="I10" s="7" t="s">
        <v>381</v>
      </c>
      <c r="J10" s="7" t="s">
        <v>389</v>
      </c>
      <c r="K10" s="8" t="s">
        <v>382</v>
      </c>
      <c r="L10" s="8" t="s">
        <v>383</v>
      </c>
      <c r="M10" s="8" t="s">
        <v>384</v>
      </c>
      <c r="N10" s="8" t="s">
        <v>385</v>
      </c>
      <c r="O10" s="8" t="s">
        <v>386</v>
      </c>
      <c r="P10" s="8" t="s">
        <v>387</v>
      </c>
      <c r="Q10" s="8" t="s">
        <v>388</v>
      </c>
      <c r="R10" s="9" t="s">
        <v>403</v>
      </c>
      <c r="S10" s="9" t="s">
        <v>404</v>
      </c>
      <c r="T10" s="9" t="s">
        <v>392</v>
      </c>
      <c r="U10" s="9" t="s">
        <v>393</v>
      </c>
      <c r="V10" s="9" t="s">
        <v>394</v>
      </c>
      <c r="W10" s="9" t="s">
        <v>395</v>
      </c>
      <c r="X10" s="9" t="s">
        <v>426</v>
      </c>
      <c r="Y10" s="9" t="s">
        <v>429</v>
      </c>
      <c r="Z10" s="9" t="s">
        <v>430</v>
      </c>
      <c r="AA10" s="9" t="s">
        <v>431</v>
      </c>
      <c r="AB10" s="9" t="s">
        <v>432</v>
      </c>
      <c r="AC10" s="9" t="s">
        <v>433</v>
      </c>
      <c r="AD10" s="9" t="s">
        <v>434</v>
      </c>
      <c r="AE10" s="9" t="s">
        <v>390</v>
      </c>
      <c r="AF10" s="9" t="s">
        <v>391</v>
      </c>
      <c r="AG10" s="10" t="s">
        <v>424</v>
      </c>
      <c r="AH10" s="10" t="s">
        <v>396</v>
      </c>
      <c r="AI10" s="10" t="s">
        <v>397</v>
      </c>
      <c r="AJ10" s="10" t="s">
        <v>398</v>
      </c>
    </row>
    <row r="11" spans="1:36" x14ac:dyDescent="0.4">
      <c r="C11" s="1" t="s">
        <v>425</v>
      </c>
      <c r="D11" s="1" t="s">
        <v>425</v>
      </c>
      <c r="E11" s="1" t="s">
        <v>425</v>
      </c>
      <c r="F11" s="1" t="s">
        <v>425</v>
      </c>
      <c r="G11" s="1" t="s">
        <v>425</v>
      </c>
      <c r="H11" s="1" t="s">
        <v>425</v>
      </c>
      <c r="I11" s="1" t="s">
        <v>425</v>
      </c>
      <c r="J11" s="1" t="s">
        <v>425</v>
      </c>
    </row>
    <row r="17" spans="6:6" x14ac:dyDescent="0.4">
      <c r="F17" s="5"/>
    </row>
    <row r="18" spans="6:6" x14ac:dyDescent="0.4">
      <c r="F18" s="5"/>
    </row>
    <row r="19" spans="6:6" x14ac:dyDescent="0.4">
      <c r="F19" s="5"/>
    </row>
    <row r="20" spans="6:6" x14ac:dyDescent="0.4">
      <c r="F20" s="5"/>
    </row>
  </sheetData>
  <conditionalFormatting sqref="A1:XFD1048576">
    <cfRule type="expression" dxfId="4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C949E-572C-4DE9-8DAF-846C6C99AC05}">
  <dimension ref="A1:AD9"/>
  <sheetViews>
    <sheetView showGridLines="0" zoomScale="75" zoomScaleNormal="75" workbookViewId="0"/>
  </sheetViews>
  <sheetFormatPr defaultRowHeight="12.3" x14ac:dyDescent="0.4"/>
  <cols>
    <col min="1" max="1" width="6.734375" style="1" bestFit="1" customWidth="1"/>
    <col min="2" max="2" width="12.20703125" style="1" bestFit="1" customWidth="1"/>
    <col min="3" max="3" width="37.734375" style="1" bestFit="1" customWidth="1"/>
    <col min="4" max="4" width="20.20703125" style="1" bestFit="1" customWidth="1"/>
    <col min="5" max="5" width="11" style="1" bestFit="1" customWidth="1"/>
    <col min="6" max="6" width="4.83984375" style="1" bestFit="1" customWidth="1"/>
    <col min="7" max="7" width="5.68359375" style="1" bestFit="1" customWidth="1"/>
    <col min="8" max="8" width="19.26171875" style="1" bestFit="1" customWidth="1"/>
    <col min="9" max="9" width="6.734375" style="1" bestFit="1" customWidth="1"/>
    <col min="10" max="10" width="4.05078125" style="1" bestFit="1" customWidth="1"/>
    <col min="11" max="11" width="3.62890625" style="1" bestFit="1" customWidth="1"/>
    <col min="12" max="12" width="12.68359375" style="1" bestFit="1" customWidth="1"/>
    <col min="13" max="13" width="16.9453125" style="1" bestFit="1" customWidth="1"/>
    <col min="14" max="14" width="20.62890625" style="1" bestFit="1" customWidth="1"/>
    <col min="15" max="15" width="20.9453125" style="1" bestFit="1" customWidth="1"/>
    <col min="16" max="16" width="12.1015625" style="1" bestFit="1" customWidth="1"/>
    <col min="17" max="17" width="13.26171875" style="1" bestFit="1" customWidth="1"/>
    <col min="18" max="18" width="11" style="1" bestFit="1" customWidth="1"/>
    <col min="19" max="19" width="13.578125" style="1" bestFit="1" customWidth="1"/>
    <col min="20" max="20" width="11.83984375" style="1" bestFit="1" customWidth="1"/>
    <col min="21" max="21" width="19.62890625" style="1" bestFit="1" customWidth="1"/>
    <col min="22" max="22" width="9.26171875" style="1" bestFit="1" customWidth="1"/>
    <col min="23" max="23" width="15.83984375" style="1" bestFit="1" customWidth="1"/>
    <col min="24" max="24" width="17.9453125" style="1" bestFit="1" customWidth="1"/>
    <col min="25" max="25" width="27.89453125" style="1" bestFit="1" customWidth="1"/>
    <col min="26" max="26" width="11.15625" style="1" bestFit="1" customWidth="1"/>
    <col min="27" max="27" width="19.41796875" style="1" bestFit="1" customWidth="1"/>
    <col min="28" max="28" width="16.9453125" style="1" bestFit="1" customWidth="1"/>
    <col min="29" max="29" width="12.83984375" style="1" bestFit="1" customWidth="1"/>
    <col min="30" max="30" width="19.47265625" style="1" bestFit="1" customWidth="1"/>
    <col min="31" max="16384" width="8.83984375" style="1"/>
  </cols>
  <sheetData>
    <row r="1" spans="1:30" ht="14.4" x14ac:dyDescent="0.55000000000000004">
      <c r="A1" t="s">
        <v>310</v>
      </c>
      <c r="B1" t="s">
        <v>311</v>
      </c>
      <c r="C1" t="s">
        <v>312</v>
      </c>
      <c r="D1" t="s">
        <v>204</v>
      </c>
      <c r="E1" t="s">
        <v>206</v>
      </c>
      <c r="F1" t="s">
        <v>207</v>
      </c>
      <c r="G1" t="s">
        <v>208</v>
      </c>
      <c r="H1" t="s">
        <v>313</v>
      </c>
      <c r="I1" t="s">
        <v>11</v>
      </c>
      <c r="J1" t="s">
        <v>214</v>
      </c>
      <c r="K1" t="s">
        <v>216</v>
      </c>
      <c r="L1" t="s">
        <v>210</v>
      </c>
      <c r="M1" t="s">
        <v>314</v>
      </c>
      <c r="N1" t="s">
        <v>315</v>
      </c>
      <c r="O1" t="s">
        <v>316</v>
      </c>
      <c r="P1" t="s">
        <v>317</v>
      </c>
      <c r="Q1" t="s">
        <v>318</v>
      </c>
      <c r="R1" t="s">
        <v>319</v>
      </c>
      <c r="S1" t="s">
        <v>320</v>
      </c>
      <c r="T1" t="s">
        <v>321</v>
      </c>
      <c r="U1" t="s">
        <v>322</v>
      </c>
      <c r="V1" t="s">
        <v>323</v>
      </c>
      <c r="W1" t="s">
        <v>324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</row>
    <row r="2" spans="1:30" x14ac:dyDescent="0.4">
      <c r="A2" s="1">
        <v>76113</v>
      </c>
      <c r="B2" s="1" t="s">
        <v>332</v>
      </c>
      <c r="C2" s="1" t="s">
        <v>333</v>
      </c>
      <c r="D2" s="1" t="s">
        <v>334</v>
      </c>
      <c r="E2" s="1" t="s">
        <v>335</v>
      </c>
      <c r="F2" s="1" t="s">
        <v>336</v>
      </c>
      <c r="G2" s="1">
        <v>15220</v>
      </c>
      <c r="H2" s="1" t="s">
        <v>337</v>
      </c>
      <c r="L2" s="5">
        <v>311000</v>
      </c>
      <c r="M2" s="5">
        <v>311000</v>
      </c>
      <c r="N2" s="5">
        <v>0</v>
      </c>
      <c r="O2" s="1" t="s">
        <v>338</v>
      </c>
      <c r="R2" s="4">
        <v>0.11</v>
      </c>
      <c r="U2" s="1" t="s">
        <v>339</v>
      </c>
      <c r="V2" s="1">
        <v>12</v>
      </c>
      <c r="X2" s="5">
        <v>620700</v>
      </c>
      <c r="Y2" s="5">
        <v>0</v>
      </c>
      <c r="Z2" s="5">
        <v>0</v>
      </c>
      <c r="AA2" s="5">
        <v>0</v>
      </c>
      <c r="AB2" s="5">
        <v>0</v>
      </c>
      <c r="AD2" s="3">
        <v>43941</v>
      </c>
    </row>
    <row r="3" spans="1:30" x14ac:dyDescent="0.4">
      <c r="A3" s="1">
        <v>76114</v>
      </c>
      <c r="B3" s="1" t="s">
        <v>332</v>
      </c>
      <c r="C3" s="1" t="s">
        <v>340</v>
      </c>
      <c r="D3" s="1" t="s">
        <v>341</v>
      </c>
      <c r="E3" s="1" t="s">
        <v>342</v>
      </c>
      <c r="F3" s="1" t="s">
        <v>343</v>
      </c>
      <c r="G3" s="1">
        <v>39180</v>
      </c>
      <c r="H3" s="1" t="s">
        <v>337</v>
      </c>
      <c r="I3" s="4">
        <v>0.51060000000000005</v>
      </c>
      <c r="L3" s="5">
        <v>257000</v>
      </c>
      <c r="M3" s="5">
        <v>257000</v>
      </c>
      <c r="N3" s="5">
        <v>0</v>
      </c>
      <c r="O3" s="1" t="s">
        <v>338</v>
      </c>
      <c r="Q3" s="1" t="s">
        <v>344</v>
      </c>
      <c r="R3" s="4">
        <v>0.11</v>
      </c>
      <c r="U3" s="1" t="s">
        <v>339</v>
      </c>
      <c r="V3" s="1">
        <v>12</v>
      </c>
      <c r="X3" s="5">
        <v>503300</v>
      </c>
      <c r="Y3" s="5">
        <v>0</v>
      </c>
      <c r="Z3" s="5">
        <v>0</v>
      </c>
      <c r="AA3" s="5">
        <v>0</v>
      </c>
      <c r="AB3" s="5">
        <v>0</v>
      </c>
      <c r="AD3" s="3">
        <v>43941</v>
      </c>
    </row>
    <row r="4" spans="1:30" x14ac:dyDescent="0.4">
      <c r="A4" s="1">
        <v>76013</v>
      </c>
      <c r="B4" s="1" t="s">
        <v>332</v>
      </c>
      <c r="C4" s="1" t="s">
        <v>345</v>
      </c>
      <c r="D4" s="1" t="s">
        <v>346</v>
      </c>
      <c r="E4" s="1" t="s">
        <v>347</v>
      </c>
      <c r="F4" s="1" t="s">
        <v>348</v>
      </c>
      <c r="G4" s="1">
        <v>30315</v>
      </c>
      <c r="H4" s="1" t="s">
        <v>337</v>
      </c>
      <c r="L4" s="5">
        <v>387000</v>
      </c>
      <c r="M4" s="5">
        <v>387000</v>
      </c>
      <c r="N4" s="5">
        <v>0</v>
      </c>
      <c r="O4" s="1" t="s">
        <v>338</v>
      </c>
      <c r="Q4" s="1" t="s">
        <v>344</v>
      </c>
      <c r="R4" s="4">
        <v>0.11</v>
      </c>
      <c r="U4" s="1" t="s">
        <v>339</v>
      </c>
      <c r="V4" s="1">
        <v>12</v>
      </c>
      <c r="X4" s="5">
        <v>774900</v>
      </c>
      <c r="Y4" s="5">
        <v>0</v>
      </c>
      <c r="Z4" s="5">
        <v>0</v>
      </c>
      <c r="AA4" s="5">
        <v>0</v>
      </c>
      <c r="AB4" s="5">
        <v>0</v>
      </c>
      <c r="AD4" s="3">
        <v>43941</v>
      </c>
    </row>
    <row r="5" spans="1:30" x14ac:dyDescent="0.4">
      <c r="A5" s="1">
        <v>76112</v>
      </c>
      <c r="B5" s="1" t="s">
        <v>332</v>
      </c>
      <c r="C5" s="1" t="s">
        <v>349</v>
      </c>
      <c r="D5" s="1" t="s">
        <v>350</v>
      </c>
      <c r="E5" s="1" t="s">
        <v>351</v>
      </c>
      <c r="F5" s="1" t="s">
        <v>352</v>
      </c>
      <c r="G5" s="1">
        <v>63653</v>
      </c>
      <c r="H5" s="1" t="s">
        <v>337</v>
      </c>
      <c r="I5" s="4">
        <v>0.50009999999999999</v>
      </c>
      <c r="L5" s="5">
        <v>290000</v>
      </c>
      <c r="M5" s="5">
        <v>290000</v>
      </c>
      <c r="N5" s="5">
        <v>0</v>
      </c>
      <c r="O5" s="1" t="s">
        <v>338</v>
      </c>
      <c r="Q5" s="1" t="s">
        <v>344</v>
      </c>
      <c r="R5" s="4">
        <v>0.11</v>
      </c>
      <c r="U5" s="1" t="s">
        <v>339</v>
      </c>
      <c r="V5" s="1">
        <v>12</v>
      </c>
      <c r="X5" s="5">
        <v>579900</v>
      </c>
      <c r="Y5" s="5">
        <v>0</v>
      </c>
      <c r="Z5" s="5">
        <v>0</v>
      </c>
      <c r="AA5" s="5">
        <v>0</v>
      </c>
      <c r="AB5" s="5">
        <v>0</v>
      </c>
      <c r="AD5" s="3">
        <v>43941</v>
      </c>
    </row>
    <row r="6" spans="1:30" x14ac:dyDescent="0.4">
      <c r="A6" s="1">
        <v>76115</v>
      </c>
      <c r="B6" s="1" t="s">
        <v>332</v>
      </c>
      <c r="C6" s="1" t="s">
        <v>353</v>
      </c>
      <c r="D6" s="1" t="s">
        <v>354</v>
      </c>
      <c r="E6" s="1" t="s">
        <v>355</v>
      </c>
      <c r="F6" s="1" t="s">
        <v>356</v>
      </c>
      <c r="G6" s="1">
        <v>54527</v>
      </c>
      <c r="H6" s="1" t="s">
        <v>337</v>
      </c>
      <c r="L6" s="5">
        <v>200000</v>
      </c>
      <c r="M6" s="5">
        <v>200000</v>
      </c>
      <c r="N6" s="5">
        <v>0</v>
      </c>
      <c r="O6" s="1" t="s">
        <v>338</v>
      </c>
      <c r="Q6" s="1" t="s">
        <v>344</v>
      </c>
      <c r="R6" s="4">
        <v>0.11</v>
      </c>
      <c r="U6" s="1" t="s">
        <v>339</v>
      </c>
      <c r="V6" s="1">
        <v>12</v>
      </c>
      <c r="X6" s="5">
        <v>400400</v>
      </c>
      <c r="Y6" s="5">
        <v>0</v>
      </c>
      <c r="Z6" s="5">
        <v>0</v>
      </c>
      <c r="AA6" s="5">
        <v>0</v>
      </c>
      <c r="AB6" s="5">
        <v>0</v>
      </c>
      <c r="AD6" s="3">
        <v>43941</v>
      </c>
    </row>
    <row r="7" spans="1:30" x14ac:dyDescent="0.4">
      <c r="A7" s="1">
        <v>76008</v>
      </c>
      <c r="B7" s="1" t="s">
        <v>332</v>
      </c>
      <c r="C7" s="1" t="s">
        <v>357</v>
      </c>
      <c r="D7" s="1" t="s">
        <v>358</v>
      </c>
      <c r="E7" s="1" t="s">
        <v>359</v>
      </c>
      <c r="F7" s="1" t="s">
        <v>360</v>
      </c>
      <c r="G7" s="1">
        <v>46750</v>
      </c>
      <c r="H7" s="1" t="s">
        <v>337</v>
      </c>
      <c r="I7" s="4">
        <v>0.55479999999999996</v>
      </c>
      <c r="L7" s="5">
        <v>2775000</v>
      </c>
      <c r="M7" s="5">
        <v>2775000</v>
      </c>
      <c r="N7" s="5">
        <v>0</v>
      </c>
      <c r="O7" s="1" t="s">
        <v>338</v>
      </c>
      <c r="Q7" s="1" t="s">
        <v>344</v>
      </c>
      <c r="R7" s="4">
        <v>0.11</v>
      </c>
      <c r="U7" s="1" t="s">
        <v>339</v>
      </c>
      <c r="V7" s="1">
        <v>12</v>
      </c>
      <c r="X7" s="5">
        <v>5001437</v>
      </c>
      <c r="Y7" s="5">
        <v>0</v>
      </c>
      <c r="Z7" s="5">
        <v>0</v>
      </c>
      <c r="AA7" s="5">
        <v>0</v>
      </c>
      <c r="AB7" s="5">
        <v>0</v>
      </c>
      <c r="AD7" s="3">
        <v>43941</v>
      </c>
    </row>
    <row r="8" spans="1:30" x14ac:dyDescent="0.4">
      <c r="A8" s="1">
        <v>75500</v>
      </c>
      <c r="B8" s="1" t="s">
        <v>361</v>
      </c>
      <c r="C8" s="1" t="s">
        <v>362</v>
      </c>
      <c r="D8" s="1" t="s">
        <v>363</v>
      </c>
      <c r="E8" s="1" t="s">
        <v>364</v>
      </c>
      <c r="F8" s="1" t="s">
        <v>365</v>
      </c>
      <c r="G8" s="1">
        <v>20019</v>
      </c>
      <c r="H8" s="1" t="s">
        <v>337</v>
      </c>
      <c r="I8" s="4">
        <v>0.76380000000000003</v>
      </c>
      <c r="L8" s="5">
        <v>305500</v>
      </c>
      <c r="M8" s="5">
        <v>305500</v>
      </c>
      <c r="N8" s="5">
        <v>0</v>
      </c>
      <c r="O8" s="1" t="s">
        <v>366</v>
      </c>
      <c r="Q8" s="1" t="s">
        <v>367</v>
      </c>
      <c r="R8" s="4">
        <v>0.11990000000000001</v>
      </c>
      <c r="S8" s="3">
        <v>43887</v>
      </c>
      <c r="U8" s="1" t="s">
        <v>339</v>
      </c>
      <c r="V8" s="1">
        <v>12</v>
      </c>
      <c r="W8" s="3">
        <v>43894</v>
      </c>
      <c r="X8" s="5">
        <v>470000</v>
      </c>
      <c r="Y8" s="5">
        <v>0</v>
      </c>
      <c r="Z8" s="5">
        <v>399999</v>
      </c>
      <c r="AA8" s="5">
        <v>0</v>
      </c>
      <c r="AB8" s="5">
        <v>0</v>
      </c>
      <c r="AD8" s="3">
        <v>43934</v>
      </c>
    </row>
    <row r="9" spans="1:30" x14ac:dyDescent="0.4">
      <c r="A9" s="1">
        <v>76030</v>
      </c>
      <c r="B9" s="1" t="s">
        <v>368</v>
      </c>
      <c r="C9" s="1" t="s">
        <v>369</v>
      </c>
      <c r="D9" s="1" t="s">
        <v>370</v>
      </c>
      <c r="E9" s="1" t="s">
        <v>371</v>
      </c>
      <c r="F9" s="1" t="s">
        <v>372</v>
      </c>
      <c r="G9" s="1">
        <v>70118</v>
      </c>
      <c r="H9" s="1" t="s">
        <v>337</v>
      </c>
      <c r="I9" s="4">
        <v>0.65</v>
      </c>
      <c r="L9" s="5">
        <v>1732250</v>
      </c>
      <c r="M9" s="5">
        <v>1732250</v>
      </c>
      <c r="N9" s="5">
        <v>0</v>
      </c>
      <c r="O9" s="1" t="s">
        <v>373</v>
      </c>
      <c r="Q9" s="1" t="s">
        <v>344</v>
      </c>
      <c r="R9" s="4">
        <v>9.9900000000000003E-2</v>
      </c>
      <c r="U9" s="1" t="s">
        <v>374</v>
      </c>
      <c r="V9" s="1">
        <v>12</v>
      </c>
      <c r="X9" s="5">
        <v>2665000</v>
      </c>
      <c r="Y9" s="5">
        <v>0</v>
      </c>
      <c r="Z9" s="5">
        <v>0</v>
      </c>
      <c r="AA9" s="5">
        <v>0</v>
      </c>
      <c r="AB9" s="5">
        <v>0</v>
      </c>
      <c r="AD9" s="3">
        <v>43934</v>
      </c>
    </row>
  </sheetData>
  <conditionalFormatting sqref="A2:XFD1048576 AE1:XFD1">
    <cfRule type="expression" dxfId="3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5E1F-0341-4199-A75A-27FBAF90AC76}">
  <dimension ref="A1:V28"/>
  <sheetViews>
    <sheetView showGridLines="0" topLeftCell="D1" zoomScale="75" zoomScaleNormal="75" workbookViewId="0">
      <selection activeCell="N15" sqref="N15"/>
    </sheetView>
  </sheetViews>
  <sheetFormatPr defaultRowHeight="12.3" x14ac:dyDescent="0.4"/>
  <cols>
    <col min="1" max="1" width="6.15625" style="1" bestFit="1" customWidth="1"/>
    <col min="2" max="2" width="30.578125" style="1" bestFit="1" customWidth="1"/>
    <col min="3" max="3" width="26.7890625" style="1" bestFit="1" customWidth="1"/>
    <col min="4" max="4" width="10.578125" style="1" bestFit="1" customWidth="1"/>
    <col min="5" max="5" width="13.9453125" style="1" bestFit="1" customWidth="1"/>
    <col min="6" max="6" width="4.89453125" style="1" bestFit="1" customWidth="1"/>
    <col min="7" max="7" width="5.68359375" style="1" bestFit="1" customWidth="1"/>
    <col min="8" max="8" width="13.578125" style="1" bestFit="1" customWidth="1"/>
    <col min="9" max="9" width="12.68359375" style="1" bestFit="1" customWidth="1"/>
    <col min="10" max="10" width="13.578125" style="1" bestFit="1" customWidth="1"/>
    <col min="11" max="11" width="19.05078125" style="1" bestFit="1" customWidth="1"/>
    <col min="12" max="12" width="15.578125" style="1" bestFit="1" customWidth="1"/>
    <col min="13" max="14" width="12.68359375" style="1" bestFit="1" customWidth="1"/>
    <col min="15" max="17" width="6.734375" style="1" bestFit="1" customWidth="1"/>
    <col min="18" max="18" width="15.578125" style="1" bestFit="1" customWidth="1"/>
    <col min="19" max="20" width="11.20703125" style="1" bestFit="1" customWidth="1"/>
    <col min="21" max="21" width="4.83984375" style="1" bestFit="1" customWidth="1"/>
    <col min="22" max="22" width="12.83984375" style="1" bestFit="1" customWidth="1"/>
    <col min="23" max="16384" width="8.83984375" style="1"/>
  </cols>
  <sheetData>
    <row r="1" spans="1:22" x14ac:dyDescent="0.4">
      <c r="A1" s="1" t="s">
        <v>202</v>
      </c>
      <c r="B1" s="1" t="s">
        <v>203</v>
      </c>
      <c r="C1" s="1" t="s">
        <v>204</v>
      </c>
      <c r="D1" s="1" t="s">
        <v>205</v>
      </c>
      <c r="E1" s="1" t="s">
        <v>206</v>
      </c>
      <c r="F1" s="1" t="s">
        <v>207</v>
      </c>
      <c r="G1" s="1" t="s">
        <v>208</v>
      </c>
      <c r="H1" s="1" t="s">
        <v>209</v>
      </c>
      <c r="I1" s="1" t="s">
        <v>210</v>
      </c>
      <c r="J1" s="1" t="s">
        <v>211</v>
      </c>
      <c r="K1" s="1" t="s">
        <v>212</v>
      </c>
      <c r="L1" s="1" t="s">
        <v>213</v>
      </c>
      <c r="M1" s="1" t="s">
        <v>214</v>
      </c>
      <c r="N1" s="1" t="s">
        <v>215</v>
      </c>
      <c r="O1" s="1" t="s">
        <v>11</v>
      </c>
      <c r="P1" s="1" t="s">
        <v>216</v>
      </c>
      <c r="Q1" s="1" t="s">
        <v>217</v>
      </c>
      <c r="R1" s="1" t="s">
        <v>218</v>
      </c>
      <c r="S1" s="1" t="s">
        <v>219</v>
      </c>
      <c r="T1" s="1" t="s">
        <v>220</v>
      </c>
      <c r="U1" s="1" t="s">
        <v>6</v>
      </c>
      <c r="V1" s="1" t="s">
        <v>221</v>
      </c>
    </row>
    <row r="2" spans="1:22" x14ac:dyDescent="0.4">
      <c r="A2" s="1">
        <v>3888</v>
      </c>
      <c r="B2" s="1" t="s">
        <v>222</v>
      </c>
      <c r="C2" s="1" t="s">
        <v>223</v>
      </c>
      <c r="D2" s="1" t="s">
        <v>224</v>
      </c>
      <c r="E2" s="1" t="s">
        <v>225</v>
      </c>
      <c r="F2" s="1" t="s">
        <v>226</v>
      </c>
      <c r="G2" s="1">
        <v>78757</v>
      </c>
      <c r="H2" s="3">
        <v>43577</v>
      </c>
      <c r="I2" s="5">
        <v>336800</v>
      </c>
      <c r="J2" s="5">
        <v>314000</v>
      </c>
      <c r="K2" s="5">
        <v>22800</v>
      </c>
      <c r="L2" s="3">
        <v>43952</v>
      </c>
      <c r="M2" s="5">
        <v>482000</v>
      </c>
      <c r="N2" s="5">
        <v>361094</v>
      </c>
      <c r="O2" s="4">
        <v>0.69879999999999998</v>
      </c>
      <c r="P2" s="4">
        <v>0.93269999999999997</v>
      </c>
      <c r="Q2" s="4">
        <v>0.12</v>
      </c>
      <c r="R2" s="1" t="s">
        <v>227</v>
      </c>
      <c r="S2" s="5">
        <v>2485.83</v>
      </c>
      <c r="T2" s="3">
        <v>43952</v>
      </c>
      <c r="U2" s="1">
        <v>12</v>
      </c>
      <c r="V2" s="1" t="s">
        <v>228</v>
      </c>
    </row>
    <row r="3" spans="1:22" x14ac:dyDescent="0.4">
      <c r="A3" s="1">
        <v>3893</v>
      </c>
      <c r="B3" s="1" t="s">
        <v>229</v>
      </c>
      <c r="C3" s="1" t="s">
        <v>230</v>
      </c>
      <c r="D3" s="1" t="s">
        <v>224</v>
      </c>
      <c r="E3" s="1" t="s">
        <v>225</v>
      </c>
      <c r="F3" s="1" t="s">
        <v>226</v>
      </c>
      <c r="G3" s="1">
        <v>78741</v>
      </c>
      <c r="H3" s="3">
        <v>43592</v>
      </c>
      <c r="I3" s="5">
        <v>462000</v>
      </c>
      <c r="J3" s="5">
        <v>389000</v>
      </c>
      <c r="K3" s="5">
        <v>73000</v>
      </c>
      <c r="L3" s="3">
        <v>43952</v>
      </c>
      <c r="M3" s="5">
        <v>660000</v>
      </c>
      <c r="N3" s="5">
        <v>509509</v>
      </c>
      <c r="O3" s="4">
        <v>0.7</v>
      </c>
      <c r="P3" s="4">
        <v>0.90680000000000005</v>
      </c>
      <c r="Q3" s="4">
        <v>0.125</v>
      </c>
      <c r="R3" s="1">
        <v>730</v>
      </c>
      <c r="S3" s="5">
        <v>3079.58</v>
      </c>
      <c r="T3" s="3">
        <v>43983</v>
      </c>
      <c r="U3" s="1">
        <v>12</v>
      </c>
      <c r="V3" s="1" t="s">
        <v>231</v>
      </c>
    </row>
    <row r="4" spans="1:22" x14ac:dyDescent="0.4">
      <c r="A4" s="1">
        <v>3988</v>
      </c>
      <c r="B4" s="1" t="s">
        <v>232</v>
      </c>
      <c r="C4" s="1" t="s">
        <v>233</v>
      </c>
      <c r="D4" s="1" t="s">
        <v>234</v>
      </c>
      <c r="E4" s="1" t="s">
        <v>235</v>
      </c>
      <c r="F4" s="1" t="s">
        <v>226</v>
      </c>
      <c r="G4" s="1">
        <v>77022</v>
      </c>
      <c r="H4" s="3">
        <v>43639</v>
      </c>
      <c r="I4" s="5">
        <v>3906100</v>
      </c>
      <c r="J4" s="5">
        <v>736200</v>
      </c>
      <c r="K4" s="5">
        <v>3169900</v>
      </c>
      <c r="L4" s="3">
        <v>43952</v>
      </c>
      <c r="M4" s="5">
        <v>5730000</v>
      </c>
      <c r="N4" s="5">
        <v>4524515</v>
      </c>
      <c r="O4" s="4">
        <v>0.68169999999999997</v>
      </c>
      <c r="P4" s="4">
        <v>0.86329999999999996</v>
      </c>
      <c r="Q4" s="4">
        <v>0.125</v>
      </c>
      <c r="R4" s="1" t="s">
        <v>236</v>
      </c>
      <c r="S4" s="5">
        <v>5828.25</v>
      </c>
      <c r="T4" s="3">
        <v>44228</v>
      </c>
      <c r="U4" s="1">
        <v>20</v>
      </c>
      <c r="V4" s="1" t="s">
        <v>237</v>
      </c>
    </row>
    <row r="5" spans="1:22" x14ac:dyDescent="0.4">
      <c r="A5" s="1">
        <v>4034</v>
      </c>
      <c r="B5" s="1" t="s">
        <v>238</v>
      </c>
      <c r="C5" s="1" t="s">
        <v>239</v>
      </c>
      <c r="D5" s="1" t="s">
        <v>224</v>
      </c>
      <c r="E5" s="1" t="s">
        <v>225</v>
      </c>
      <c r="F5" s="1" t="s">
        <v>226</v>
      </c>
      <c r="G5" s="1">
        <v>78751</v>
      </c>
      <c r="H5" s="3">
        <v>43663</v>
      </c>
      <c r="I5" s="5">
        <v>306600</v>
      </c>
      <c r="J5" s="5">
        <v>173000</v>
      </c>
      <c r="K5" s="5">
        <v>133600</v>
      </c>
      <c r="L5" s="3">
        <v>43952</v>
      </c>
      <c r="M5" s="5">
        <v>438000</v>
      </c>
      <c r="N5" s="5">
        <v>353864</v>
      </c>
      <c r="O5" s="4">
        <v>0.7</v>
      </c>
      <c r="P5" s="4">
        <v>0.86639999999999995</v>
      </c>
      <c r="Q5" s="4">
        <v>0.11</v>
      </c>
      <c r="R5" s="1">
        <v>703</v>
      </c>
      <c r="S5" s="5">
        <v>1369.58</v>
      </c>
      <c r="T5" s="3">
        <v>44044</v>
      </c>
      <c r="U5" s="1">
        <v>12</v>
      </c>
      <c r="V5" s="1" t="s">
        <v>237</v>
      </c>
    </row>
    <row r="6" spans="1:22" x14ac:dyDescent="0.4">
      <c r="A6" s="1">
        <v>3931</v>
      </c>
      <c r="B6" s="1" t="s">
        <v>240</v>
      </c>
      <c r="C6" s="1" t="s">
        <v>241</v>
      </c>
      <c r="D6" s="1" t="s">
        <v>242</v>
      </c>
      <c r="E6" s="1" t="s">
        <v>243</v>
      </c>
      <c r="F6" s="1" t="s">
        <v>226</v>
      </c>
      <c r="G6" s="1">
        <v>78231</v>
      </c>
      <c r="H6" s="3">
        <v>43665</v>
      </c>
      <c r="I6" s="5">
        <v>103600</v>
      </c>
      <c r="J6" s="5">
        <v>65000</v>
      </c>
      <c r="K6" s="5">
        <v>38600</v>
      </c>
      <c r="L6" s="3">
        <v>43952</v>
      </c>
      <c r="M6" s="5">
        <v>148000</v>
      </c>
      <c r="N6" s="5">
        <v>129140</v>
      </c>
      <c r="O6" s="4">
        <v>0.7</v>
      </c>
      <c r="P6" s="4">
        <v>0.80220000000000002</v>
      </c>
      <c r="Q6" s="4">
        <v>0.125</v>
      </c>
      <c r="R6" s="1">
        <v>699</v>
      </c>
      <c r="S6" s="5">
        <v>514.58000000000004</v>
      </c>
      <c r="T6" s="3">
        <v>44044</v>
      </c>
      <c r="U6" s="1">
        <v>12</v>
      </c>
      <c r="V6" s="1" t="s">
        <v>244</v>
      </c>
    </row>
    <row r="7" spans="1:22" x14ac:dyDescent="0.4">
      <c r="A7" s="1">
        <v>3990</v>
      </c>
      <c r="B7" s="1" t="s">
        <v>245</v>
      </c>
      <c r="C7" s="1" t="s">
        <v>246</v>
      </c>
      <c r="D7" s="1" t="s">
        <v>247</v>
      </c>
      <c r="E7" s="1" t="s">
        <v>248</v>
      </c>
      <c r="F7" s="1" t="s">
        <v>226</v>
      </c>
      <c r="G7" s="1">
        <v>78620</v>
      </c>
      <c r="H7" s="3">
        <v>43684</v>
      </c>
      <c r="I7" s="5">
        <v>333600</v>
      </c>
      <c r="J7" s="5">
        <v>333600</v>
      </c>
      <c r="K7" s="5">
        <v>0</v>
      </c>
      <c r="L7" s="3">
        <v>43952</v>
      </c>
      <c r="M7" s="5">
        <v>556000</v>
      </c>
      <c r="N7" s="5">
        <v>622426</v>
      </c>
      <c r="O7" s="4">
        <v>0.6</v>
      </c>
      <c r="P7" s="4">
        <v>0.53600000000000003</v>
      </c>
      <c r="Q7" s="4">
        <v>0.14499999999999999</v>
      </c>
      <c r="R7" s="1">
        <v>585</v>
      </c>
      <c r="S7" s="5">
        <v>2641</v>
      </c>
      <c r="T7" s="3">
        <v>44440</v>
      </c>
      <c r="U7" s="1">
        <v>24</v>
      </c>
      <c r="V7" s="1" t="s">
        <v>249</v>
      </c>
    </row>
    <row r="8" spans="1:22" x14ac:dyDescent="0.4">
      <c r="A8" s="1">
        <v>3982</v>
      </c>
      <c r="B8" s="1" t="s">
        <v>250</v>
      </c>
      <c r="C8" s="1" t="s">
        <v>251</v>
      </c>
      <c r="D8" s="1" t="s">
        <v>234</v>
      </c>
      <c r="E8" s="1" t="s">
        <v>235</v>
      </c>
      <c r="F8" s="1" t="s">
        <v>226</v>
      </c>
      <c r="G8" s="1">
        <v>77016</v>
      </c>
      <c r="H8" s="3">
        <v>43689</v>
      </c>
      <c r="I8" s="5">
        <v>89600</v>
      </c>
      <c r="J8" s="5">
        <v>67000</v>
      </c>
      <c r="K8" s="5">
        <v>22600</v>
      </c>
      <c r="L8" s="3">
        <v>43952</v>
      </c>
      <c r="M8" s="5">
        <v>128000</v>
      </c>
      <c r="N8" s="5">
        <v>110346</v>
      </c>
      <c r="O8" s="4">
        <v>0.7</v>
      </c>
      <c r="P8" s="4">
        <v>0.81200000000000006</v>
      </c>
      <c r="Q8" s="4">
        <v>0.1</v>
      </c>
      <c r="R8" s="1">
        <v>757</v>
      </c>
      <c r="S8" s="5">
        <v>530.41999999999996</v>
      </c>
      <c r="T8" s="3">
        <v>44075</v>
      </c>
      <c r="U8" s="1">
        <v>12</v>
      </c>
      <c r="V8" s="1" t="s">
        <v>228</v>
      </c>
    </row>
    <row r="9" spans="1:22" x14ac:dyDescent="0.4">
      <c r="A9" s="1">
        <v>4077</v>
      </c>
      <c r="B9" s="1" t="s">
        <v>252</v>
      </c>
      <c r="C9" s="1" t="s">
        <v>253</v>
      </c>
      <c r="D9" s="1" t="s">
        <v>224</v>
      </c>
      <c r="E9" s="1" t="s">
        <v>225</v>
      </c>
      <c r="F9" s="1" t="s">
        <v>226</v>
      </c>
      <c r="G9" s="1">
        <v>78741</v>
      </c>
      <c r="H9" s="3">
        <v>43711</v>
      </c>
      <c r="I9" s="5">
        <v>753300</v>
      </c>
      <c r="J9" s="5">
        <v>331000</v>
      </c>
      <c r="K9" s="5">
        <v>422300</v>
      </c>
      <c r="L9" s="3">
        <v>43952</v>
      </c>
      <c r="M9" s="5">
        <v>860000</v>
      </c>
      <c r="N9" s="5">
        <v>755760</v>
      </c>
      <c r="O9" s="4">
        <v>0.87590000000000001</v>
      </c>
      <c r="P9" s="4">
        <v>0.99670000000000003</v>
      </c>
      <c r="Q9" s="4">
        <v>0.1</v>
      </c>
      <c r="R9" s="1">
        <v>736</v>
      </c>
      <c r="S9" s="5">
        <v>2620.42</v>
      </c>
      <c r="T9" s="3">
        <v>44287</v>
      </c>
      <c r="U9" s="1">
        <v>18</v>
      </c>
      <c r="V9" s="1" t="s">
        <v>237</v>
      </c>
    </row>
    <row r="10" spans="1:22" x14ac:dyDescent="0.4">
      <c r="A10" s="1">
        <v>4079</v>
      </c>
      <c r="B10" s="1" t="s">
        <v>254</v>
      </c>
      <c r="C10" s="1" t="s">
        <v>255</v>
      </c>
      <c r="D10" s="1" t="s">
        <v>256</v>
      </c>
      <c r="E10" s="1" t="s">
        <v>256</v>
      </c>
      <c r="F10" s="1" t="s">
        <v>226</v>
      </c>
      <c r="G10" s="1">
        <v>77356</v>
      </c>
      <c r="H10" s="3">
        <v>43718</v>
      </c>
      <c r="I10" s="5">
        <v>360500</v>
      </c>
      <c r="J10" s="5">
        <v>154000</v>
      </c>
      <c r="K10" s="5">
        <v>206500</v>
      </c>
      <c r="L10" s="3">
        <v>43952</v>
      </c>
      <c r="M10" s="5">
        <v>515000</v>
      </c>
      <c r="N10" s="5">
        <v>486310</v>
      </c>
      <c r="O10" s="4">
        <v>0.7</v>
      </c>
      <c r="P10" s="4">
        <v>0.74129999999999996</v>
      </c>
      <c r="Q10" s="4">
        <v>0.12</v>
      </c>
      <c r="R10" s="1">
        <v>674</v>
      </c>
      <c r="S10" s="5">
        <v>1219.17</v>
      </c>
      <c r="T10" s="3">
        <v>44105</v>
      </c>
      <c r="U10" s="1">
        <v>12</v>
      </c>
      <c r="V10" s="1" t="s">
        <v>237</v>
      </c>
    </row>
    <row r="11" spans="1:22" x14ac:dyDescent="0.4">
      <c r="A11" s="1">
        <v>4117</v>
      </c>
      <c r="B11" s="1" t="s">
        <v>257</v>
      </c>
      <c r="C11" s="1" t="s">
        <v>258</v>
      </c>
      <c r="D11" s="1" t="s">
        <v>259</v>
      </c>
      <c r="E11" s="1" t="s">
        <v>260</v>
      </c>
      <c r="F11" s="1" t="s">
        <v>226</v>
      </c>
      <c r="G11" s="1">
        <v>78070</v>
      </c>
      <c r="H11" s="3">
        <v>43740</v>
      </c>
      <c r="I11" s="5">
        <v>143500</v>
      </c>
      <c r="J11" s="5">
        <v>105000</v>
      </c>
      <c r="K11" s="5">
        <v>38500</v>
      </c>
      <c r="L11" s="3">
        <v>43952</v>
      </c>
      <c r="M11" s="5">
        <v>205000</v>
      </c>
      <c r="N11" s="5">
        <v>160571</v>
      </c>
      <c r="O11" s="4">
        <v>0.7</v>
      </c>
      <c r="P11" s="4">
        <v>0.89370000000000005</v>
      </c>
      <c r="Q11" s="4">
        <v>0.125</v>
      </c>
      <c r="R11" s="1">
        <v>707</v>
      </c>
      <c r="S11" s="5">
        <v>831.25</v>
      </c>
      <c r="T11" s="3">
        <v>44105</v>
      </c>
      <c r="U11" s="1">
        <v>12</v>
      </c>
      <c r="V11" s="1" t="s">
        <v>244</v>
      </c>
    </row>
    <row r="12" spans="1:22" x14ac:dyDescent="0.4">
      <c r="A12" s="1">
        <v>4145</v>
      </c>
      <c r="B12" s="1" t="s">
        <v>257</v>
      </c>
      <c r="C12" s="1" t="s">
        <v>261</v>
      </c>
      <c r="D12" s="1" t="s">
        <v>259</v>
      </c>
      <c r="E12" s="1" t="s">
        <v>260</v>
      </c>
      <c r="F12" s="1" t="s">
        <v>226</v>
      </c>
      <c r="G12" s="1">
        <v>78070</v>
      </c>
      <c r="H12" s="3">
        <v>43749</v>
      </c>
      <c r="I12" s="5">
        <v>256700</v>
      </c>
      <c r="J12" s="5">
        <v>172000</v>
      </c>
      <c r="K12" s="5">
        <v>84700</v>
      </c>
      <c r="L12" s="3">
        <v>43952</v>
      </c>
      <c r="M12" s="5">
        <v>414000</v>
      </c>
      <c r="N12" s="5">
        <v>283864</v>
      </c>
      <c r="O12" s="4">
        <v>0.62</v>
      </c>
      <c r="P12" s="4">
        <v>0.90429999999999999</v>
      </c>
      <c r="Q12" s="4">
        <v>0.125</v>
      </c>
      <c r="R12" s="1">
        <v>707</v>
      </c>
      <c r="S12" s="5">
        <v>1361.67</v>
      </c>
      <c r="T12" s="3">
        <v>44136</v>
      </c>
      <c r="U12" s="1">
        <v>12</v>
      </c>
      <c r="V12" s="1" t="s">
        <v>244</v>
      </c>
    </row>
    <row r="13" spans="1:22" x14ac:dyDescent="0.4">
      <c r="A13" s="1">
        <v>4157</v>
      </c>
      <c r="B13" s="1" t="s">
        <v>262</v>
      </c>
      <c r="C13" s="1" t="s">
        <v>263</v>
      </c>
      <c r="D13" s="1" t="s">
        <v>224</v>
      </c>
      <c r="E13" s="1" t="s">
        <v>225</v>
      </c>
      <c r="F13" s="1" t="s">
        <v>226</v>
      </c>
      <c r="G13" s="1">
        <v>78751</v>
      </c>
      <c r="H13" s="3">
        <v>43762</v>
      </c>
      <c r="I13" s="5">
        <v>791000</v>
      </c>
      <c r="J13" s="5">
        <v>425000</v>
      </c>
      <c r="K13" s="5">
        <v>366000</v>
      </c>
      <c r="L13" s="3">
        <v>43952</v>
      </c>
      <c r="M13" s="5">
        <v>1065000</v>
      </c>
      <c r="N13" s="5">
        <v>818975</v>
      </c>
      <c r="O13" s="4">
        <v>0.74270000000000003</v>
      </c>
      <c r="P13" s="4">
        <v>0.96579999999999999</v>
      </c>
      <c r="Q13" s="4">
        <v>0.1</v>
      </c>
      <c r="R13" s="1">
        <v>735</v>
      </c>
      <c r="S13" s="5">
        <v>3364.58</v>
      </c>
      <c r="T13" s="3">
        <v>44166</v>
      </c>
      <c r="U13" s="1">
        <v>24</v>
      </c>
      <c r="V13" s="1" t="s">
        <v>237</v>
      </c>
    </row>
    <row r="14" spans="1:22" x14ac:dyDescent="0.4">
      <c r="A14" s="1">
        <v>4151</v>
      </c>
      <c r="B14" s="1" t="s">
        <v>264</v>
      </c>
      <c r="C14" s="1" t="s">
        <v>265</v>
      </c>
      <c r="D14" s="1" t="s">
        <v>266</v>
      </c>
      <c r="E14" s="1" t="s">
        <v>266</v>
      </c>
      <c r="F14" s="1" t="s">
        <v>226</v>
      </c>
      <c r="G14" s="1">
        <v>75218</v>
      </c>
      <c r="H14" s="3">
        <v>43767</v>
      </c>
      <c r="I14" s="5">
        <v>403100</v>
      </c>
      <c r="J14" s="5">
        <v>349000</v>
      </c>
      <c r="K14" s="5">
        <v>54100</v>
      </c>
      <c r="L14" s="3">
        <v>43952</v>
      </c>
      <c r="M14" s="5">
        <v>600000</v>
      </c>
      <c r="N14" s="5">
        <v>479208</v>
      </c>
      <c r="O14" s="4">
        <v>0.67179999999999995</v>
      </c>
      <c r="P14" s="4">
        <v>0.84119999999999995</v>
      </c>
      <c r="Q14" s="4">
        <v>0.10249999999999999</v>
      </c>
      <c r="R14" s="1">
        <v>668</v>
      </c>
      <c r="S14" s="5">
        <v>2762.92</v>
      </c>
      <c r="T14" s="3">
        <v>44136</v>
      </c>
      <c r="U14" s="1">
        <v>12</v>
      </c>
      <c r="V14" s="1" t="s">
        <v>237</v>
      </c>
    </row>
    <row r="15" spans="1:22" x14ac:dyDescent="0.4">
      <c r="A15" s="1">
        <v>4142</v>
      </c>
      <c r="B15" s="1" t="s">
        <v>267</v>
      </c>
      <c r="C15" s="1" t="s">
        <v>268</v>
      </c>
      <c r="D15" s="1" t="s">
        <v>224</v>
      </c>
      <c r="E15" s="1" t="s">
        <v>225</v>
      </c>
      <c r="F15" s="1" t="s">
        <v>226</v>
      </c>
      <c r="G15" s="1">
        <v>78702</v>
      </c>
      <c r="H15" s="3">
        <v>43756</v>
      </c>
      <c r="I15" s="5">
        <v>737000</v>
      </c>
      <c r="J15" s="5">
        <v>326000</v>
      </c>
      <c r="K15" s="5">
        <v>411000</v>
      </c>
      <c r="L15" s="3">
        <v>43952</v>
      </c>
      <c r="M15" s="5">
        <v>1130000</v>
      </c>
      <c r="N15" s="5">
        <v>810763</v>
      </c>
      <c r="O15" s="4">
        <v>0.6522</v>
      </c>
      <c r="P15" s="4">
        <v>0.90900000000000003</v>
      </c>
      <c r="Q15" s="4">
        <v>0.125</v>
      </c>
      <c r="R15" s="1" t="s">
        <v>269</v>
      </c>
      <c r="S15" s="5">
        <v>2580.83</v>
      </c>
      <c r="T15" s="3">
        <v>44136</v>
      </c>
      <c r="U15" s="1">
        <v>12</v>
      </c>
      <c r="V15" s="1" t="s">
        <v>237</v>
      </c>
    </row>
    <row r="16" spans="1:22" x14ac:dyDescent="0.4">
      <c r="A16" s="1">
        <v>4078</v>
      </c>
      <c r="B16" s="1" t="s">
        <v>270</v>
      </c>
      <c r="C16" s="1" t="s">
        <v>271</v>
      </c>
      <c r="D16" s="1" t="s">
        <v>259</v>
      </c>
      <c r="E16" s="1" t="s">
        <v>272</v>
      </c>
      <c r="F16" s="1" t="s">
        <v>226</v>
      </c>
      <c r="G16" s="1">
        <v>78130</v>
      </c>
      <c r="H16" s="3">
        <v>43770</v>
      </c>
      <c r="I16" s="5">
        <v>1708000</v>
      </c>
      <c r="J16" s="5">
        <v>481000</v>
      </c>
      <c r="K16" s="5">
        <v>1227000</v>
      </c>
      <c r="L16" s="3">
        <v>43952</v>
      </c>
      <c r="M16" s="5">
        <v>2440000</v>
      </c>
      <c r="N16" s="5">
        <v>2143440</v>
      </c>
      <c r="O16" s="4">
        <v>0.7</v>
      </c>
      <c r="P16" s="4">
        <v>0.79679999999999995</v>
      </c>
      <c r="Q16" s="4">
        <v>0.11</v>
      </c>
      <c r="R16" s="1">
        <v>779</v>
      </c>
      <c r="S16" s="5">
        <v>3807.92</v>
      </c>
      <c r="T16" s="3">
        <v>44440</v>
      </c>
      <c r="U16" s="1">
        <v>21</v>
      </c>
      <c r="V16" s="1" t="s">
        <v>244</v>
      </c>
    </row>
    <row r="17" spans="1:22" x14ac:dyDescent="0.4">
      <c r="A17" s="1">
        <v>4153</v>
      </c>
      <c r="B17" s="1" t="s">
        <v>273</v>
      </c>
      <c r="C17" s="1" t="s">
        <v>274</v>
      </c>
      <c r="D17" s="1" t="s">
        <v>275</v>
      </c>
      <c r="E17" s="1" t="s">
        <v>276</v>
      </c>
      <c r="F17" s="1" t="s">
        <v>226</v>
      </c>
      <c r="G17" s="1">
        <v>78155</v>
      </c>
      <c r="H17" s="3">
        <v>43776</v>
      </c>
      <c r="I17" s="5">
        <v>289500</v>
      </c>
      <c r="J17" s="5">
        <v>185000</v>
      </c>
      <c r="K17" s="5">
        <v>104500</v>
      </c>
      <c r="L17" s="3">
        <v>43952</v>
      </c>
      <c r="M17" s="5">
        <v>415000</v>
      </c>
      <c r="N17" s="5">
        <v>343581</v>
      </c>
      <c r="O17" s="4">
        <v>0.6976</v>
      </c>
      <c r="P17" s="4">
        <v>0.84260000000000002</v>
      </c>
      <c r="Q17" s="4">
        <v>0.10249999999999999</v>
      </c>
      <c r="R17" s="1">
        <v>696</v>
      </c>
      <c r="S17" s="5">
        <v>1464.58</v>
      </c>
      <c r="T17" s="3">
        <v>44166</v>
      </c>
      <c r="U17" s="1">
        <v>12</v>
      </c>
      <c r="V17" s="1" t="s">
        <v>237</v>
      </c>
    </row>
    <row r="18" spans="1:22" x14ac:dyDescent="0.4">
      <c r="A18" s="1">
        <v>4158</v>
      </c>
      <c r="B18" s="1" t="s">
        <v>262</v>
      </c>
      <c r="C18" s="1" t="s">
        <v>277</v>
      </c>
      <c r="D18" s="1" t="s">
        <v>224</v>
      </c>
      <c r="E18" s="1" t="s">
        <v>278</v>
      </c>
      <c r="F18" s="1" t="s">
        <v>226</v>
      </c>
      <c r="G18" s="1">
        <v>78745</v>
      </c>
      <c r="H18" s="3">
        <v>43784</v>
      </c>
      <c r="I18" s="5">
        <v>901700</v>
      </c>
      <c r="J18" s="5">
        <v>535000</v>
      </c>
      <c r="K18" s="5">
        <v>366700</v>
      </c>
      <c r="L18" s="3">
        <v>43952</v>
      </c>
      <c r="M18" s="5">
        <v>1205000</v>
      </c>
      <c r="N18" s="5">
        <v>935343</v>
      </c>
      <c r="O18" s="4">
        <v>0.74829999999999997</v>
      </c>
      <c r="P18" s="4">
        <v>0.96399999999999997</v>
      </c>
      <c r="Q18" s="4">
        <v>0.1</v>
      </c>
      <c r="R18" s="1">
        <v>736</v>
      </c>
      <c r="S18" s="5">
        <v>4235.42</v>
      </c>
      <c r="T18" s="3">
        <v>44562</v>
      </c>
      <c r="U18" s="1">
        <v>24</v>
      </c>
      <c r="V18" s="1" t="s">
        <v>237</v>
      </c>
    </row>
    <row r="19" spans="1:22" x14ac:dyDescent="0.4">
      <c r="A19" s="1">
        <v>4198</v>
      </c>
      <c r="B19" s="1" t="s">
        <v>279</v>
      </c>
      <c r="C19" s="1" t="s">
        <v>280</v>
      </c>
      <c r="D19" s="1" t="s">
        <v>281</v>
      </c>
      <c r="E19" s="1" t="s">
        <v>282</v>
      </c>
      <c r="F19" s="1" t="s">
        <v>226</v>
      </c>
      <c r="G19" s="1">
        <v>77447</v>
      </c>
      <c r="H19" s="3">
        <v>43788</v>
      </c>
      <c r="I19" s="5">
        <v>180600</v>
      </c>
      <c r="J19" s="5">
        <v>133000</v>
      </c>
      <c r="K19" s="5">
        <v>47600</v>
      </c>
      <c r="L19" s="3">
        <v>43952</v>
      </c>
      <c r="M19" s="5">
        <v>238500</v>
      </c>
      <c r="N19" s="5">
        <v>207075</v>
      </c>
      <c r="O19" s="4">
        <v>0.75719999999999998</v>
      </c>
      <c r="P19" s="4">
        <v>0.87209999999999999</v>
      </c>
      <c r="Q19" s="4">
        <v>0.12</v>
      </c>
      <c r="R19" s="1">
        <v>674</v>
      </c>
      <c r="S19" s="5">
        <v>1052.92</v>
      </c>
      <c r="T19" s="3">
        <v>44256</v>
      </c>
      <c r="U19" s="1">
        <v>15</v>
      </c>
      <c r="V19" s="1" t="s">
        <v>237</v>
      </c>
    </row>
    <row r="20" spans="1:22" x14ac:dyDescent="0.4">
      <c r="A20" s="1">
        <v>4181</v>
      </c>
      <c r="B20" s="1" t="s">
        <v>283</v>
      </c>
      <c r="C20" s="1" t="s">
        <v>284</v>
      </c>
      <c r="D20" s="1" t="s">
        <v>266</v>
      </c>
      <c r="E20" s="1" t="s">
        <v>266</v>
      </c>
      <c r="F20" s="1" t="s">
        <v>226</v>
      </c>
      <c r="G20" s="1">
        <v>75218</v>
      </c>
      <c r="H20" s="3">
        <v>43789</v>
      </c>
      <c r="I20" s="5">
        <v>490000</v>
      </c>
      <c r="J20" s="5">
        <v>367000</v>
      </c>
      <c r="K20" s="5">
        <v>123000</v>
      </c>
      <c r="L20" s="3">
        <v>43952</v>
      </c>
      <c r="M20" s="5">
        <v>700000</v>
      </c>
      <c r="N20" s="5">
        <v>563958</v>
      </c>
      <c r="O20" s="4">
        <v>0.7</v>
      </c>
      <c r="P20" s="4">
        <v>0.86890000000000001</v>
      </c>
      <c r="Q20" s="4">
        <v>0.125</v>
      </c>
      <c r="R20" s="1">
        <v>668</v>
      </c>
      <c r="S20" s="5">
        <v>2905.42</v>
      </c>
      <c r="T20" s="3">
        <v>44166</v>
      </c>
      <c r="U20" s="1">
        <v>12</v>
      </c>
      <c r="V20" s="1" t="s">
        <v>237</v>
      </c>
    </row>
    <row r="21" spans="1:22" x14ac:dyDescent="0.4">
      <c r="A21" s="1">
        <v>4146</v>
      </c>
      <c r="B21" s="1" t="s">
        <v>285</v>
      </c>
      <c r="C21" s="1" t="s">
        <v>286</v>
      </c>
      <c r="D21" s="1" t="s">
        <v>234</v>
      </c>
      <c r="E21" s="1" t="s">
        <v>235</v>
      </c>
      <c r="F21" s="1" t="s">
        <v>226</v>
      </c>
      <c r="G21" s="1">
        <v>77008</v>
      </c>
      <c r="H21" s="3">
        <v>43809</v>
      </c>
      <c r="I21" s="5">
        <v>1872500</v>
      </c>
      <c r="J21" s="5">
        <v>670000</v>
      </c>
      <c r="K21" s="5">
        <v>1202500</v>
      </c>
      <c r="L21" s="3">
        <v>43952</v>
      </c>
      <c r="M21" s="5">
        <v>2675000</v>
      </c>
      <c r="N21" s="5">
        <v>2071029</v>
      </c>
      <c r="O21" s="4">
        <v>0.7</v>
      </c>
      <c r="P21" s="4">
        <v>0.90410000000000001</v>
      </c>
      <c r="Q21" s="4">
        <v>9.2499999999999999E-2</v>
      </c>
      <c r="R21" s="1">
        <v>759</v>
      </c>
      <c r="S21" s="5">
        <v>5304.17</v>
      </c>
      <c r="T21" s="3">
        <v>44378</v>
      </c>
      <c r="U21" s="1">
        <v>18</v>
      </c>
      <c r="V21" s="1" t="s">
        <v>237</v>
      </c>
    </row>
    <row r="22" spans="1:22" x14ac:dyDescent="0.4">
      <c r="A22" s="1">
        <v>4207</v>
      </c>
      <c r="B22" s="1" t="s">
        <v>287</v>
      </c>
      <c r="C22" s="1" t="s">
        <v>288</v>
      </c>
      <c r="D22" s="1" t="s">
        <v>234</v>
      </c>
      <c r="E22" s="1" t="s">
        <v>235</v>
      </c>
      <c r="F22" s="1" t="s">
        <v>226</v>
      </c>
      <c r="G22" s="1">
        <v>77008</v>
      </c>
      <c r="H22" s="3">
        <v>43829</v>
      </c>
      <c r="I22" s="5">
        <v>819000</v>
      </c>
      <c r="J22" s="5">
        <v>456000</v>
      </c>
      <c r="K22" s="5">
        <v>363000</v>
      </c>
      <c r="L22" s="3">
        <v>43952</v>
      </c>
      <c r="M22" s="5">
        <v>1170000</v>
      </c>
      <c r="N22" s="5">
        <v>918481</v>
      </c>
      <c r="O22" s="4">
        <v>0.7</v>
      </c>
      <c r="P22" s="4">
        <v>0.89170000000000005</v>
      </c>
      <c r="Q22" s="4">
        <v>0.125</v>
      </c>
      <c r="R22" s="1" t="s">
        <v>289</v>
      </c>
      <c r="S22" s="5">
        <v>3610</v>
      </c>
      <c r="T22" s="3">
        <v>44317</v>
      </c>
      <c r="U22" s="1">
        <v>15</v>
      </c>
      <c r="V22" s="1" t="s">
        <v>237</v>
      </c>
    </row>
    <row r="23" spans="1:22" x14ac:dyDescent="0.4">
      <c r="A23" s="1">
        <v>4243</v>
      </c>
      <c r="B23" s="1" t="s">
        <v>290</v>
      </c>
      <c r="C23" s="1" t="s">
        <v>291</v>
      </c>
      <c r="D23" s="1" t="s">
        <v>224</v>
      </c>
      <c r="E23" s="1" t="s">
        <v>225</v>
      </c>
      <c r="F23" s="1" t="s">
        <v>226</v>
      </c>
      <c r="G23" s="1">
        <v>78756</v>
      </c>
      <c r="H23" s="3">
        <v>43838</v>
      </c>
      <c r="I23" s="5">
        <v>810000</v>
      </c>
      <c r="J23" s="5">
        <v>701000</v>
      </c>
      <c r="K23" s="5">
        <v>109000</v>
      </c>
      <c r="L23" s="3">
        <v>43952</v>
      </c>
      <c r="M23" s="5">
        <v>1080000</v>
      </c>
      <c r="N23" s="5">
        <v>883698</v>
      </c>
      <c r="O23" s="4">
        <v>0.75</v>
      </c>
      <c r="P23" s="4">
        <v>0.91659999999999997</v>
      </c>
      <c r="Q23" s="4">
        <v>0.12</v>
      </c>
      <c r="R23" s="1" t="s">
        <v>292</v>
      </c>
      <c r="S23" s="5">
        <v>5549.58</v>
      </c>
      <c r="T23" s="3">
        <v>44348</v>
      </c>
      <c r="U23" s="1">
        <v>15</v>
      </c>
      <c r="V23" s="1" t="s">
        <v>228</v>
      </c>
    </row>
    <row r="24" spans="1:22" x14ac:dyDescent="0.4">
      <c r="A24" s="1">
        <v>4240</v>
      </c>
      <c r="B24" s="1" t="s">
        <v>293</v>
      </c>
      <c r="C24" s="1" t="s">
        <v>294</v>
      </c>
      <c r="D24" s="1" t="s">
        <v>224</v>
      </c>
      <c r="E24" s="1" t="s">
        <v>225</v>
      </c>
      <c r="F24" s="1" t="s">
        <v>226</v>
      </c>
      <c r="G24" s="1">
        <v>78746</v>
      </c>
      <c r="H24" s="3">
        <v>43845</v>
      </c>
      <c r="I24" s="5">
        <v>525000</v>
      </c>
      <c r="J24" s="5">
        <v>525000</v>
      </c>
      <c r="K24" s="1" t="s">
        <v>295</v>
      </c>
      <c r="L24" s="3">
        <v>43952</v>
      </c>
      <c r="M24" s="5">
        <v>910000</v>
      </c>
      <c r="N24" s="5">
        <v>958243</v>
      </c>
      <c r="O24" s="4">
        <v>0.57689999999999997</v>
      </c>
      <c r="P24" s="4">
        <v>0.54790000000000005</v>
      </c>
      <c r="Q24" s="4">
        <v>0.14000000000000001</v>
      </c>
      <c r="R24" s="1">
        <v>568</v>
      </c>
      <c r="S24" s="5">
        <v>4156.25</v>
      </c>
      <c r="T24" s="3">
        <v>44228</v>
      </c>
      <c r="U24" s="1">
        <v>12</v>
      </c>
      <c r="V24" s="1" t="s">
        <v>249</v>
      </c>
    </row>
    <row r="25" spans="1:22" x14ac:dyDescent="0.4">
      <c r="A25" s="1">
        <v>4272</v>
      </c>
      <c r="B25" s="1" t="s">
        <v>296</v>
      </c>
      <c r="C25" s="1" t="s">
        <v>297</v>
      </c>
      <c r="D25" s="1" t="s">
        <v>298</v>
      </c>
      <c r="E25" s="1" t="s">
        <v>299</v>
      </c>
      <c r="F25" s="1" t="s">
        <v>226</v>
      </c>
      <c r="G25" s="1">
        <v>76542</v>
      </c>
      <c r="H25" s="3">
        <v>43861</v>
      </c>
      <c r="I25" s="5">
        <v>100100</v>
      </c>
      <c r="J25" s="5">
        <v>100100</v>
      </c>
      <c r="K25" s="1" t="s">
        <v>295</v>
      </c>
      <c r="L25" s="3">
        <v>43952</v>
      </c>
      <c r="M25" s="5">
        <v>143000</v>
      </c>
      <c r="N25" s="5">
        <v>103592</v>
      </c>
      <c r="O25" s="4">
        <v>0.7</v>
      </c>
      <c r="P25" s="4">
        <v>0.96630000000000005</v>
      </c>
      <c r="Q25" s="4">
        <v>0.12</v>
      </c>
      <c r="R25" s="1">
        <v>741</v>
      </c>
      <c r="S25" s="5">
        <v>792.46</v>
      </c>
      <c r="T25" s="3">
        <v>44228</v>
      </c>
      <c r="U25" s="1">
        <v>12</v>
      </c>
      <c r="V25" s="1" t="s">
        <v>300</v>
      </c>
    </row>
    <row r="26" spans="1:22" x14ac:dyDescent="0.4">
      <c r="A26" s="1">
        <v>4242</v>
      </c>
      <c r="B26" s="1" t="s">
        <v>296</v>
      </c>
      <c r="C26" s="1" t="s">
        <v>301</v>
      </c>
      <c r="D26" s="1" t="s">
        <v>302</v>
      </c>
      <c r="E26" s="1" t="s">
        <v>303</v>
      </c>
      <c r="F26" s="1" t="s">
        <v>226</v>
      </c>
      <c r="G26" s="1">
        <v>76522</v>
      </c>
      <c r="H26" s="3">
        <v>43861</v>
      </c>
      <c r="I26" s="5">
        <v>95900</v>
      </c>
      <c r="J26" s="5">
        <v>95900</v>
      </c>
      <c r="K26" s="1" t="s">
        <v>295</v>
      </c>
      <c r="L26" s="3">
        <v>43952</v>
      </c>
      <c r="M26" s="5">
        <v>137000</v>
      </c>
      <c r="N26" s="5">
        <v>99201</v>
      </c>
      <c r="O26" s="4">
        <v>0.7</v>
      </c>
      <c r="P26" s="4">
        <v>0.9667</v>
      </c>
      <c r="Q26" s="4">
        <v>0.12</v>
      </c>
      <c r="R26" s="1">
        <v>741</v>
      </c>
      <c r="S26" s="5">
        <v>759.21</v>
      </c>
      <c r="T26" s="3">
        <v>44228</v>
      </c>
      <c r="U26" s="1">
        <v>12</v>
      </c>
      <c r="V26" s="1" t="s">
        <v>228</v>
      </c>
    </row>
    <row r="27" spans="1:22" x14ac:dyDescent="0.4">
      <c r="A27" s="1">
        <v>4280</v>
      </c>
      <c r="B27" s="1" t="s">
        <v>304</v>
      </c>
      <c r="C27" s="1" t="s">
        <v>305</v>
      </c>
      <c r="D27" s="1" t="s">
        <v>306</v>
      </c>
      <c r="E27" s="1" t="s">
        <v>307</v>
      </c>
      <c r="F27" s="1" t="s">
        <v>226</v>
      </c>
      <c r="G27" s="1">
        <v>78209</v>
      </c>
      <c r="H27" s="3">
        <v>43868</v>
      </c>
      <c r="I27" s="5">
        <v>2689000</v>
      </c>
      <c r="J27" s="5">
        <v>927000</v>
      </c>
      <c r="K27" s="5">
        <v>1762000</v>
      </c>
      <c r="L27" s="3">
        <v>43952</v>
      </c>
      <c r="M27" s="5">
        <v>3908604</v>
      </c>
      <c r="N27" s="5">
        <v>3113025</v>
      </c>
      <c r="O27" s="4">
        <v>0.68799999999999994</v>
      </c>
      <c r="P27" s="4">
        <v>0.86380000000000001</v>
      </c>
      <c r="Q27" s="4">
        <v>0.13500000000000001</v>
      </c>
      <c r="R27" s="1">
        <v>764</v>
      </c>
      <c r="S27" s="5">
        <v>7338.75</v>
      </c>
      <c r="T27" s="3">
        <v>44652</v>
      </c>
      <c r="U27" s="1">
        <v>24</v>
      </c>
      <c r="V27" s="1" t="s">
        <v>300</v>
      </c>
    </row>
    <row r="28" spans="1:22" x14ac:dyDescent="0.4">
      <c r="A28" s="1">
        <v>4312</v>
      </c>
      <c r="B28" s="1" t="s">
        <v>308</v>
      </c>
      <c r="C28" s="1" t="s">
        <v>309</v>
      </c>
      <c r="D28" s="1" t="s">
        <v>224</v>
      </c>
      <c r="E28" s="1" t="s">
        <v>225</v>
      </c>
      <c r="F28" s="1" t="s">
        <v>226</v>
      </c>
      <c r="G28" s="1">
        <v>78734</v>
      </c>
      <c r="H28" s="3">
        <v>43893</v>
      </c>
      <c r="I28" s="5">
        <v>184400</v>
      </c>
      <c r="J28" s="5">
        <v>165000</v>
      </c>
      <c r="K28" s="5">
        <v>19400</v>
      </c>
      <c r="L28" s="3">
        <v>43952</v>
      </c>
      <c r="M28" s="5">
        <v>275000</v>
      </c>
      <c r="N28" s="5">
        <v>215468</v>
      </c>
      <c r="O28" s="4">
        <v>0.67049999999999998</v>
      </c>
      <c r="P28" s="4">
        <v>0.85580000000000001</v>
      </c>
      <c r="Q28" s="4">
        <v>0.1075</v>
      </c>
      <c r="R28" s="1">
        <v>643</v>
      </c>
      <c r="S28" s="5">
        <v>1306.25</v>
      </c>
      <c r="T28" s="3">
        <v>44287</v>
      </c>
      <c r="U28" s="1">
        <v>12</v>
      </c>
      <c r="V28" s="1" t="s">
        <v>300</v>
      </c>
    </row>
  </sheetData>
  <conditionalFormatting sqref="A1:XFD1048576">
    <cfRule type="expression" dxfId="2" priority="1">
      <formula>(AND(ISNUMBER(A1), NOT(_xlfn.ISFORMULA(A1)),NOT(ISBLANK(A1))))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95C9-2488-47FE-848A-8374C77C1C22}">
  <dimension ref="A1:R83"/>
  <sheetViews>
    <sheetView showGridLines="0" topLeftCell="E1" zoomScale="75" zoomScaleNormal="75" workbookViewId="0">
      <selection activeCell="U8" sqref="U8"/>
    </sheetView>
  </sheetViews>
  <sheetFormatPr defaultRowHeight="12.3" x14ac:dyDescent="0.4"/>
  <cols>
    <col min="1" max="1" width="80" style="1" bestFit="1" customWidth="1"/>
    <col min="2" max="2" width="18" style="1" bestFit="1" customWidth="1"/>
    <col min="3" max="3" width="11.47265625" style="1" bestFit="1" customWidth="1"/>
    <col min="4" max="4" width="14" style="1" bestFit="1" customWidth="1"/>
    <col min="5" max="5" width="9.68359375" style="1" bestFit="1" customWidth="1"/>
    <col min="6" max="6" width="18.1015625" style="1" bestFit="1" customWidth="1"/>
    <col min="7" max="7" width="4.83984375" style="1" bestFit="1" customWidth="1"/>
    <col min="8" max="8" width="9.578125" style="1" bestFit="1" customWidth="1"/>
    <col min="9" max="9" width="8.62890625" style="1" bestFit="1" customWidth="1"/>
    <col min="10" max="10" width="8.68359375" style="1" bestFit="1" customWidth="1"/>
    <col min="11" max="11" width="8.5234375" style="1" bestFit="1" customWidth="1"/>
    <col min="12" max="12" width="7.68359375" style="1" bestFit="1" customWidth="1"/>
    <col min="13" max="13" width="7.578125" style="1" bestFit="1" customWidth="1"/>
    <col min="14" max="14" width="8.9453125" style="1" bestFit="1" customWidth="1"/>
    <col min="15" max="15" width="12.47265625" style="1" bestFit="1" customWidth="1"/>
    <col min="16" max="16" width="13.68359375" style="1" bestFit="1" customWidth="1"/>
    <col min="17" max="17" width="9.9453125" style="1" bestFit="1" customWidth="1"/>
    <col min="18" max="18" width="23.578125" style="1" bestFit="1" customWidth="1"/>
    <col min="19" max="16384" width="8.83984375" style="1"/>
  </cols>
  <sheetData>
    <row r="1" spans="1:1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4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2">
        <v>1371000</v>
      </c>
      <c r="G2" s="1">
        <v>11</v>
      </c>
      <c r="H2" s="3">
        <v>42747</v>
      </c>
      <c r="I2" s="3">
        <v>43101</v>
      </c>
      <c r="J2" s="4">
        <v>9.9000000000000005E-2</v>
      </c>
      <c r="K2" s="4">
        <v>9.9000000000000005E-2</v>
      </c>
      <c r="L2" s="4">
        <v>0.66600000000000004</v>
      </c>
      <c r="M2" s="1" t="s">
        <v>23</v>
      </c>
      <c r="N2" s="1" t="s">
        <v>24</v>
      </c>
      <c r="O2" s="1">
        <v>636</v>
      </c>
      <c r="P2" s="5">
        <v>2281000</v>
      </c>
      <c r="Q2" s="3">
        <v>43327</v>
      </c>
      <c r="R2" s="1">
        <v>19.329999999999998</v>
      </c>
    </row>
    <row r="3" spans="1:18" x14ac:dyDescent="0.4">
      <c r="A3" s="1" t="s">
        <v>25</v>
      </c>
      <c r="B3" s="1" t="s">
        <v>19</v>
      </c>
      <c r="C3" s="1" t="s">
        <v>26</v>
      </c>
      <c r="D3" s="1" t="s">
        <v>21</v>
      </c>
      <c r="E3" s="1" t="s">
        <v>27</v>
      </c>
      <c r="F3" s="2">
        <v>1220000</v>
      </c>
      <c r="G3" s="1">
        <v>11</v>
      </c>
      <c r="H3" s="3">
        <v>42747</v>
      </c>
      <c r="I3" s="3">
        <v>43101</v>
      </c>
      <c r="J3" s="4">
        <v>9.9000000000000005E-2</v>
      </c>
      <c r="K3" s="4">
        <v>9.9000000000000005E-2</v>
      </c>
      <c r="L3" s="4">
        <v>0.6925</v>
      </c>
      <c r="M3" s="1" t="s">
        <v>28</v>
      </c>
      <c r="N3" s="1" t="s">
        <v>24</v>
      </c>
      <c r="O3" s="1">
        <v>690</v>
      </c>
      <c r="P3" s="5">
        <v>1762000</v>
      </c>
      <c r="Q3" s="3">
        <v>42966</v>
      </c>
      <c r="R3" s="1">
        <v>7.3</v>
      </c>
    </row>
    <row r="4" spans="1:18" x14ac:dyDescent="0.4">
      <c r="A4" s="1" t="s">
        <v>29</v>
      </c>
      <c r="B4" s="1" t="s">
        <v>19</v>
      </c>
      <c r="C4" s="1" t="s">
        <v>30</v>
      </c>
      <c r="D4" s="1" t="s">
        <v>31</v>
      </c>
      <c r="E4" s="1" t="s">
        <v>27</v>
      </c>
      <c r="F4" s="2">
        <v>558000</v>
      </c>
      <c r="G4" s="1">
        <v>11</v>
      </c>
      <c r="H4" s="3">
        <v>42800</v>
      </c>
      <c r="I4" s="3">
        <v>43160</v>
      </c>
      <c r="J4" s="4">
        <v>8.9899999999999994E-2</v>
      </c>
      <c r="K4" s="4">
        <v>8.9899999999999994E-2</v>
      </c>
      <c r="L4" s="4">
        <v>0.72</v>
      </c>
      <c r="M4" s="1" t="s">
        <v>23</v>
      </c>
      <c r="N4" s="1" t="s">
        <v>24</v>
      </c>
      <c r="O4" s="1">
        <v>754</v>
      </c>
      <c r="P4" s="5">
        <v>790000</v>
      </c>
      <c r="Q4" s="3">
        <v>43014</v>
      </c>
      <c r="R4" s="1">
        <v>7.13</v>
      </c>
    </row>
    <row r="5" spans="1:18" x14ac:dyDescent="0.4">
      <c r="A5" s="1" t="s">
        <v>32</v>
      </c>
      <c r="B5" s="1" t="s">
        <v>19</v>
      </c>
      <c r="C5" s="1" t="s">
        <v>33</v>
      </c>
      <c r="D5" s="1" t="s">
        <v>21</v>
      </c>
      <c r="E5" s="1" t="s">
        <v>27</v>
      </c>
      <c r="F5" s="2">
        <v>1600000</v>
      </c>
      <c r="G5" s="1">
        <v>11</v>
      </c>
      <c r="H5" s="3">
        <v>42811</v>
      </c>
      <c r="I5" s="3">
        <v>43160</v>
      </c>
      <c r="J5" s="4">
        <v>9.5000000000000001E-2</v>
      </c>
      <c r="K5" s="4">
        <v>9.5000000000000001E-2</v>
      </c>
      <c r="L5" s="4">
        <v>0.72</v>
      </c>
      <c r="M5" s="1" t="s">
        <v>28</v>
      </c>
      <c r="N5" s="1" t="s">
        <v>24</v>
      </c>
      <c r="O5" s="1">
        <v>707</v>
      </c>
      <c r="P5" s="5">
        <v>1650000</v>
      </c>
      <c r="Q5" s="3">
        <v>42885</v>
      </c>
      <c r="R5" s="1">
        <v>2.4700000000000002</v>
      </c>
    </row>
    <row r="6" spans="1:18" x14ac:dyDescent="0.4">
      <c r="A6" s="1" t="s">
        <v>34</v>
      </c>
      <c r="B6" s="1" t="s">
        <v>19</v>
      </c>
      <c r="C6" s="1" t="s">
        <v>35</v>
      </c>
      <c r="D6" s="1" t="s">
        <v>21</v>
      </c>
      <c r="E6" s="1" t="s">
        <v>27</v>
      </c>
      <c r="F6" s="2">
        <v>325000</v>
      </c>
      <c r="G6" s="1">
        <v>11</v>
      </c>
      <c r="H6" s="3">
        <v>42839</v>
      </c>
      <c r="I6" s="3">
        <v>43191</v>
      </c>
      <c r="J6" s="4">
        <v>9.9000000000000005E-2</v>
      </c>
      <c r="K6" s="4">
        <v>9.5000000000000001E-2</v>
      </c>
      <c r="L6" s="4">
        <v>0.48</v>
      </c>
      <c r="M6" s="1" t="s">
        <v>23</v>
      </c>
      <c r="N6" s="1" t="s">
        <v>36</v>
      </c>
      <c r="O6" s="1">
        <v>565</v>
      </c>
      <c r="P6" s="5">
        <v>682000</v>
      </c>
      <c r="Q6" s="3">
        <v>43274</v>
      </c>
      <c r="R6" s="1">
        <v>14.5</v>
      </c>
    </row>
    <row r="7" spans="1:18" x14ac:dyDescent="0.4">
      <c r="A7" s="1" t="s">
        <v>37</v>
      </c>
      <c r="B7" s="1" t="s">
        <v>38</v>
      </c>
      <c r="C7" s="1" t="s">
        <v>39</v>
      </c>
      <c r="D7" s="1" t="s">
        <v>31</v>
      </c>
      <c r="E7" s="1" t="s">
        <v>27</v>
      </c>
      <c r="F7" s="2">
        <v>572000</v>
      </c>
      <c r="G7" s="1">
        <v>11</v>
      </c>
      <c r="H7" s="3">
        <v>42828</v>
      </c>
      <c r="I7" s="3">
        <v>43191</v>
      </c>
      <c r="J7" s="4">
        <v>0.09</v>
      </c>
      <c r="K7" s="4">
        <v>0.09</v>
      </c>
      <c r="L7" s="4">
        <v>0.65</v>
      </c>
      <c r="M7" s="1" t="s">
        <v>23</v>
      </c>
      <c r="N7" s="1" t="s">
        <v>36</v>
      </c>
      <c r="O7" s="1" t="s">
        <v>40</v>
      </c>
      <c r="P7" s="5">
        <v>887000</v>
      </c>
      <c r="Q7" s="1" t="s">
        <v>40</v>
      </c>
    </row>
    <row r="8" spans="1:18" x14ac:dyDescent="0.4">
      <c r="A8" s="1" t="s">
        <v>41</v>
      </c>
      <c r="B8" s="1" t="s">
        <v>19</v>
      </c>
      <c r="C8" s="1" t="s">
        <v>42</v>
      </c>
      <c r="D8" s="1" t="s">
        <v>31</v>
      </c>
      <c r="E8" s="1" t="s">
        <v>27</v>
      </c>
      <c r="F8" s="2">
        <v>921600</v>
      </c>
      <c r="G8" s="1">
        <v>11</v>
      </c>
      <c r="H8" s="3">
        <v>42832</v>
      </c>
      <c r="I8" s="3">
        <v>43191</v>
      </c>
      <c r="J8" s="4">
        <v>0.09</v>
      </c>
      <c r="K8" s="4">
        <v>8.5000000000000006E-2</v>
      </c>
      <c r="L8" s="4">
        <v>0.72</v>
      </c>
      <c r="M8" s="1" t="s">
        <v>23</v>
      </c>
      <c r="N8" s="1" t="s">
        <v>43</v>
      </c>
      <c r="O8" s="1">
        <v>740</v>
      </c>
      <c r="P8" s="5">
        <v>1280000</v>
      </c>
      <c r="Q8" s="3">
        <v>43081</v>
      </c>
      <c r="R8" s="1">
        <v>8.3000000000000007</v>
      </c>
    </row>
    <row r="9" spans="1:18" x14ac:dyDescent="0.4">
      <c r="A9" s="1" t="s">
        <v>44</v>
      </c>
      <c r="B9" s="1" t="s">
        <v>19</v>
      </c>
      <c r="C9" s="1" t="s">
        <v>45</v>
      </c>
      <c r="D9" s="1" t="s">
        <v>21</v>
      </c>
      <c r="E9" s="1" t="s">
        <v>46</v>
      </c>
      <c r="F9" s="2">
        <v>2460000</v>
      </c>
      <c r="G9" s="1">
        <v>11</v>
      </c>
      <c r="H9" s="3">
        <v>42837</v>
      </c>
      <c r="I9" s="3">
        <v>43191</v>
      </c>
      <c r="J9" s="4">
        <v>9.9000000000000005E-2</v>
      </c>
      <c r="K9" s="4">
        <v>9.5000000000000001E-2</v>
      </c>
      <c r="L9" s="4">
        <v>0.68</v>
      </c>
      <c r="M9" s="1" t="s">
        <v>28</v>
      </c>
      <c r="N9" s="1" t="s">
        <v>43</v>
      </c>
      <c r="O9" s="1">
        <v>795</v>
      </c>
      <c r="P9" s="5">
        <v>5000000</v>
      </c>
      <c r="Q9" s="3">
        <v>42885</v>
      </c>
      <c r="R9" s="1">
        <v>1.6</v>
      </c>
    </row>
    <row r="10" spans="1:18" x14ac:dyDescent="0.4">
      <c r="A10" s="1" t="s">
        <v>47</v>
      </c>
      <c r="B10" s="1" t="s">
        <v>19</v>
      </c>
      <c r="C10" s="1" t="s">
        <v>48</v>
      </c>
      <c r="D10" s="1" t="s">
        <v>21</v>
      </c>
      <c r="E10" s="1" t="s">
        <v>27</v>
      </c>
      <c r="F10" s="2">
        <v>1475000</v>
      </c>
      <c r="G10" s="1">
        <v>11</v>
      </c>
      <c r="H10" s="3">
        <v>42843</v>
      </c>
      <c r="I10" s="3">
        <v>43191</v>
      </c>
      <c r="J10" s="4">
        <v>9.9000000000000005E-2</v>
      </c>
      <c r="K10" s="4">
        <v>9.5000000000000001E-2</v>
      </c>
      <c r="L10" s="4">
        <v>0.7</v>
      </c>
      <c r="M10" s="1" t="s">
        <v>28</v>
      </c>
      <c r="N10" s="1" t="s">
        <v>43</v>
      </c>
      <c r="O10" s="1">
        <v>587</v>
      </c>
      <c r="P10" s="5">
        <v>2800000</v>
      </c>
      <c r="Q10" s="3">
        <v>43287</v>
      </c>
      <c r="R10" s="1">
        <v>14.8</v>
      </c>
    </row>
    <row r="11" spans="1:18" x14ac:dyDescent="0.4">
      <c r="A11" s="1" t="s">
        <v>49</v>
      </c>
      <c r="B11" s="1" t="s">
        <v>19</v>
      </c>
      <c r="C11" s="1" t="s">
        <v>50</v>
      </c>
      <c r="D11" s="1" t="s">
        <v>21</v>
      </c>
      <c r="E11" s="1" t="s">
        <v>27</v>
      </c>
      <c r="F11" s="2">
        <v>850000</v>
      </c>
      <c r="G11" s="1">
        <v>11</v>
      </c>
      <c r="H11" s="3">
        <v>42832</v>
      </c>
      <c r="I11" s="3">
        <v>43191</v>
      </c>
      <c r="J11" s="4">
        <v>8.8999999999999996E-2</v>
      </c>
      <c r="K11" s="4">
        <v>8.5000000000000006E-2</v>
      </c>
      <c r="L11" s="4">
        <v>0.49</v>
      </c>
      <c r="M11" s="1" t="s">
        <v>28</v>
      </c>
      <c r="N11" s="1" t="s">
        <v>36</v>
      </c>
      <c r="O11" s="1">
        <v>697</v>
      </c>
      <c r="P11" s="5">
        <v>1750000</v>
      </c>
      <c r="Q11" s="3">
        <v>43341</v>
      </c>
      <c r="R11" s="1">
        <v>16.97</v>
      </c>
    </row>
    <row r="12" spans="1:18" x14ac:dyDescent="0.4">
      <c r="A12" s="1" t="s">
        <v>51</v>
      </c>
      <c r="B12" s="1" t="s">
        <v>19</v>
      </c>
      <c r="C12" s="1" t="s">
        <v>52</v>
      </c>
      <c r="D12" s="1" t="s">
        <v>31</v>
      </c>
      <c r="E12" s="1" t="s">
        <v>53</v>
      </c>
      <c r="F12" s="2">
        <v>1350000</v>
      </c>
      <c r="G12" s="1">
        <v>11</v>
      </c>
      <c r="H12" s="3">
        <v>42849</v>
      </c>
      <c r="I12" s="3">
        <v>42795</v>
      </c>
      <c r="J12" s="4">
        <v>9.9000000000000005E-2</v>
      </c>
      <c r="K12" s="4">
        <v>9.9000000000000005E-2</v>
      </c>
      <c r="L12" s="4">
        <v>0.7</v>
      </c>
      <c r="M12" s="1" t="s">
        <v>54</v>
      </c>
      <c r="N12" s="1" t="s">
        <v>55</v>
      </c>
      <c r="O12" s="1">
        <v>737</v>
      </c>
      <c r="P12" s="5">
        <v>2403000</v>
      </c>
      <c r="Q12" s="1" t="s">
        <v>40</v>
      </c>
    </row>
    <row r="13" spans="1:18" x14ac:dyDescent="0.4">
      <c r="A13" s="1" t="s">
        <v>56</v>
      </c>
      <c r="B13" s="1" t="s">
        <v>19</v>
      </c>
      <c r="C13" s="1" t="s">
        <v>57</v>
      </c>
      <c r="D13" s="1" t="s">
        <v>31</v>
      </c>
      <c r="E13" s="1" t="s">
        <v>27</v>
      </c>
      <c r="F13" s="2">
        <v>400000</v>
      </c>
      <c r="G13" s="1">
        <v>11</v>
      </c>
      <c r="H13" s="3">
        <v>42866</v>
      </c>
      <c r="I13" s="3">
        <v>43221</v>
      </c>
      <c r="J13" s="4">
        <v>8.9899999999999994E-2</v>
      </c>
      <c r="K13" s="4">
        <v>8.9899999999999994E-2</v>
      </c>
      <c r="L13" s="4">
        <v>0.39800000000000002</v>
      </c>
      <c r="M13" s="1" t="s">
        <v>28</v>
      </c>
      <c r="N13" s="1" t="s">
        <v>24</v>
      </c>
      <c r="O13" s="1">
        <v>644</v>
      </c>
      <c r="P13" s="5">
        <v>980000</v>
      </c>
      <c r="Q13" s="3">
        <v>42985</v>
      </c>
      <c r="R13" s="1">
        <v>3.97</v>
      </c>
    </row>
    <row r="14" spans="1:18" x14ac:dyDescent="0.4">
      <c r="A14" s="1" t="s">
        <v>58</v>
      </c>
      <c r="B14" s="1" t="s">
        <v>19</v>
      </c>
      <c r="C14" s="1" t="s">
        <v>59</v>
      </c>
      <c r="D14" s="1" t="s">
        <v>31</v>
      </c>
      <c r="E14" s="1" t="s">
        <v>27</v>
      </c>
      <c r="F14" s="2">
        <v>177800</v>
      </c>
      <c r="G14" s="1">
        <v>11</v>
      </c>
      <c r="H14" s="3">
        <v>42870</v>
      </c>
      <c r="I14" s="3">
        <v>43221</v>
      </c>
      <c r="J14" s="4">
        <v>9.9000000000000005E-2</v>
      </c>
      <c r="K14" s="4">
        <v>9.9000000000000005E-2</v>
      </c>
      <c r="L14" s="4">
        <v>0.7</v>
      </c>
      <c r="M14" s="1" t="s">
        <v>28</v>
      </c>
      <c r="N14" s="1" t="s">
        <v>43</v>
      </c>
      <c r="O14" s="1">
        <v>681</v>
      </c>
      <c r="P14" s="5">
        <v>254000</v>
      </c>
      <c r="Q14" s="3">
        <v>43189</v>
      </c>
      <c r="R14" s="1">
        <v>10.63</v>
      </c>
    </row>
    <row r="15" spans="1:18" x14ac:dyDescent="0.4">
      <c r="A15" s="1" t="s">
        <v>60</v>
      </c>
      <c r="B15" s="1" t="s">
        <v>19</v>
      </c>
      <c r="C15" s="1" t="s">
        <v>61</v>
      </c>
      <c r="D15" s="1" t="s">
        <v>31</v>
      </c>
      <c r="E15" s="1" t="s">
        <v>27</v>
      </c>
      <c r="F15" s="2">
        <v>309000</v>
      </c>
      <c r="G15" s="1">
        <v>11</v>
      </c>
      <c r="H15" s="3">
        <v>42878</v>
      </c>
      <c r="I15" s="3">
        <v>43221</v>
      </c>
      <c r="J15" s="4">
        <v>0.09</v>
      </c>
      <c r="K15" s="4">
        <v>8.5000000000000006E-2</v>
      </c>
      <c r="L15" s="4">
        <v>0.72899999999999998</v>
      </c>
      <c r="M15" s="1" t="s">
        <v>28</v>
      </c>
      <c r="N15" s="1" t="s">
        <v>55</v>
      </c>
      <c r="O15" s="1">
        <v>697</v>
      </c>
      <c r="P15" s="5">
        <v>307400</v>
      </c>
      <c r="Q15" s="3">
        <v>43178</v>
      </c>
      <c r="R15" s="1">
        <v>10</v>
      </c>
    </row>
    <row r="16" spans="1:18" x14ac:dyDescent="0.4">
      <c r="A16" s="1" t="s">
        <v>62</v>
      </c>
      <c r="B16" s="1" t="s">
        <v>19</v>
      </c>
      <c r="C16" s="1" t="s">
        <v>63</v>
      </c>
      <c r="D16" s="1" t="s">
        <v>21</v>
      </c>
      <c r="E16" s="1" t="s">
        <v>27</v>
      </c>
      <c r="F16" s="2">
        <v>1065000</v>
      </c>
      <c r="G16" s="1">
        <v>11</v>
      </c>
      <c r="H16" s="3">
        <v>42873</v>
      </c>
      <c r="I16" s="3">
        <v>43221</v>
      </c>
      <c r="J16" s="4">
        <v>0.09</v>
      </c>
      <c r="K16" s="4">
        <v>8.5000000000000006E-2</v>
      </c>
      <c r="L16" s="4">
        <v>0.73</v>
      </c>
      <c r="M16" s="1" t="s">
        <v>28</v>
      </c>
      <c r="N16" s="1" t="s">
        <v>43</v>
      </c>
      <c r="O16" s="1">
        <v>788</v>
      </c>
      <c r="P16" s="5">
        <v>1460000</v>
      </c>
      <c r="Q16" s="3">
        <v>42955</v>
      </c>
      <c r="R16" s="1">
        <v>2.73</v>
      </c>
    </row>
    <row r="17" spans="1:18" x14ac:dyDescent="0.4">
      <c r="A17" s="1" t="s">
        <v>64</v>
      </c>
      <c r="B17" s="1" t="s">
        <v>38</v>
      </c>
      <c r="C17" s="1" t="s">
        <v>65</v>
      </c>
      <c r="D17" s="1" t="s">
        <v>31</v>
      </c>
      <c r="E17" s="1" t="s">
        <v>27</v>
      </c>
      <c r="F17" s="2">
        <v>500000</v>
      </c>
      <c r="G17" s="1">
        <v>11</v>
      </c>
      <c r="H17" s="3">
        <v>42899</v>
      </c>
      <c r="I17" s="3">
        <v>43252</v>
      </c>
      <c r="J17" s="4">
        <v>8.9899999999999994E-2</v>
      </c>
      <c r="K17" s="4">
        <v>8.4900000000000003E-2</v>
      </c>
      <c r="L17" s="4">
        <v>0.59899999999999998</v>
      </c>
      <c r="M17" s="1" t="s">
        <v>23</v>
      </c>
      <c r="N17" s="1" t="s">
        <v>43</v>
      </c>
      <c r="O17" s="1">
        <v>768</v>
      </c>
      <c r="P17" s="5">
        <v>835000</v>
      </c>
      <c r="Q17" s="1" t="s">
        <v>40</v>
      </c>
    </row>
    <row r="18" spans="1:18" x14ac:dyDescent="0.4">
      <c r="A18" s="1" t="s">
        <v>66</v>
      </c>
      <c r="B18" s="1" t="s">
        <v>19</v>
      </c>
      <c r="C18" s="1" t="s">
        <v>67</v>
      </c>
      <c r="D18" s="1" t="s">
        <v>21</v>
      </c>
      <c r="E18" s="1" t="s">
        <v>22</v>
      </c>
      <c r="F18" s="2">
        <v>2625000</v>
      </c>
      <c r="G18" s="1">
        <v>11</v>
      </c>
      <c r="H18" s="3">
        <v>42885</v>
      </c>
      <c r="I18" s="3">
        <v>43221</v>
      </c>
      <c r="J18" s="4">
        <v>9.5000000000000001E-2</v>
      </c>
      <c r="K18" s="4">
        <v>0.09</v>
      </c>
      <c r="L18" s="4">
        <v>0.64300000000000002</v>
      </c>
      <c r="M18" s="1" t="s">
        <v>23</v>
      </c>
      <c r="N18" s="1" t="s">
        <v>43</v>
      </c>
      <c r="O18" s="1">
        <v>686</v>
      </c>
      <c r="P18" s="5">
        <v>5225000</v>
      </c>
      <c r="Q18" s="3">
        <v>43010</v>
      </c>
      <c r="R18" s="1">
        <v>4.17</v>
      </c>
    </row>
    <row r="19" spans="1:18" x14ac:dyDescent="0.4">
      <c r="A19" s="1" t="s">
        <v>68</v>
      </c>
      <c r="B19" s="1" t="s">
        <v>19</v>
      </c>
      <c r="C19" s="1" t="s">
        <v>69</v>
      </c>
      <c r="D19" s="1" t="s">
        <v>31</v>
      </c>
      <c r="E19" s="1" t="s">
        <v>27</v>
      </c>
      <c r="F19" s="2">
        <v>294000</v>
      </c>
      <c r="G19" s="1">
        <v>11</v>
      </c>
      <c r="H19" s="3">
        <v>42928</v>
      </c>
      <c r="I19" s="3">
        <v>43282</v>
      </c>
      <c r="J19" s="4">
        <v>9.9000000000000005E-2</v>
      </c>
      <c r="K19" s="4">
        <v>9.9000000000000005E-2</v>
      </c>
      <c r="L19" s="4">
        <v>0.7</v>
      </c>
      <c r="M19" s="1" t="s">
        <v>23</v>
      </c>
      <c r="N19" s="1" t="s">
        <v>43</v>
      </c>
      <c r="O19" s="1">
        <v>515</v>
      </c>
      <c r="P19" s="5">
        <v>429000</v>
      </c>
      <c r="Q19" s="3">
        <v>43103</v>
      </c>
      <c r="R19" s="1">
        <v>5.83</v>
      </c>
    </row>
    <row r="20" spans="1:18" x14ac:dyDescent="0.4">
      <c r="A20" s="1" t="s">
        <v>70</v>
      </c>
      <c r="B20" s="1" t="s">
        <v>19</v>
      </c>
      <c r="C20" s="1" t="s">
        <v>71</v>
      </c>
      <c r="D20" s="1" t="s">
        <v>31</v>
      </c>
      <c r="E20" s="1" t="s">
        <v>27</v>
      </c>
      <c r="F20" s="2">
        <v>749000</v>
      </c>
      <c r="G20" s="1">
        <v>11</v>
      </c>
      <c r="H20" s="3">
        <v>42912</v>
      </c>
      <c r="I20" s="3">
        <v>42887</v>
      </c>
      <c r="J20" s="4">
        <v>0.105</v>
      </c>
      <c r="K20" s="4">
        <v>0.105</v>
      </c>
      <c r="L20" s="4">
        <v>0.7</v>
      </c>
      <c r="M20" s="1" t="s">
        <v>23</v>
      </c>
      <c r="N20" s="1" t="s">
        <v>24</v>
      </c>
      <c r="O20" s="1">
        <v>635</v>
      </c>
      <c r="P20" s="5">
        <v>1070000</v>
      </c>
      <c r="Q20" s="3">
        <v>43259</v>
      </c>
      <c r="R20" s="1">
        <v>11.57</v>
      </c>
    </row>
    <row r="21" spans="1:18" x14ac:dyDescent="0.4">
      <c r="A21" s="1" t="s">
        <v>72</v>
      </c>
      <c r="B21" s="1" t="s">
        <v>19</v>
      </c>
      <c r="C21" s="1" t="s">
        <v>73</v>
      </c>
      <c r="D21" s="1" t="s">
        <v>31</v>
      </c>
      <c r="E21" s="1" t="s">
        <v>27</v>
      </c>
      <c r="F21" s="2">
        <v>783360</v>
      </c>
      <c r="G21" s="1">
        <v>11</v>
      </c>
      <c r="H21" s="3">
        <v>42909</v>
      </c>
      <c r="I21" s="3">
        <v>43252</v>
      </c>
      <c r="J21" s="4">
        <v>0.09</v>
      </c>
      <c r="K21" s="4">
        <v>8.5000000000000006E-2</v>
      </c>
      <c r="L21" s="4">
        <v>0.54400000000000004</v>
      </c>
      <c r="M21" s="1" t="s">
        <v>23</v>
      </c>
      <c r="N21" s="1" t="s">
        <v>43</v>
      </c>
      <c r="O21" s="1">
        <v>761</v>
      </c>
      <c r="P21" s="5">
        <v>1088000</v>
      </c>
      <c r="Q21" s="3">
        <v>42968</v>
      </c>
      <c r="R21" s="1">
        <v>1.97</v>
      </c>
    </row>
    <row r="22" spans="1:18" x14ac:dyDescent="0.4">
      <c r="A22" s="1" t="s">
        <v>74</v>
      </c>
      <c r="B22" s="1" t="s">
        <v>19</v>
      </c>
      <c r="C22" s="1" t="s">
        <v>75</v>
      </c>
      <c r="D22" s="1" t="s">
        <v>31</v>
      </c>
      <c r="E22" s="1" t="s">
        <v>27</v>
      </c>
      <c r="F22" s="2">
        <v>198000</v>
      </c>
      <c r="G22" s="1">
        <v>11</v>
      </c>
      <c r="H22" s="3">
        <v>42950</v>
      </c>
      <c r="I22" s="3">
        <v>43282</v>
      </c>
      <c r="J22" s="4">
        <v>9.9000000000000005E-2</v>
      </c>
      <c r="K22" s="4">
        <v>9.9000000000000005E-2</v>
      </c>
      <c r="L22" s="4">
        <v>0.85</v>
      </c>
      <c r="M22" s="1" t="s">
        <v>23</v>
      </c>
      <c r="N22" s="1" t="s">
        <v>43</v>
      </c>
      <c r="O22" s="1">
        <v>725</v>
      </c>
      <c r="P22" s="5">
        <v>325000</v>
      </c>
      <c r="Q22" s="3">
        <v>43482</v>
      </c>
      <c r="R22" s="1">
        <v>17.73</v>
      </c>
    </row>
    <row r="23" spans="1:18" x14ac:dyDescent="0.4">
      <c r="A23" s="1" t="s">
        <v>76</v>
      </c>
      <c r="B23" s="1" t="s">
        <v>19</v>
      </c>
      <c r="C23" s="1" t="s">
        <v>77</v>
      </c>
      <c r="D23" s="1" t="s">
        <v>21</v>
      </c>
      <c r="E23" s="1" t="s">
        <v>27</v>
      </c>
      <c r="F23" s="2">
        <v>1250000</v>
      </c>
      <c r="G23" s="1">
        <v>11</v>
      </c>
      <c r="H23" s="3">
        <v>42935</v>
      </c>
      <c r="I23" s="3">
        <v>43282</v>
      </c>
      <c r="J23" s="4">
        <v>7.8799999999999995E-2</v>
      </c>
      <c r="K23" s="4">
        <v>7.8799999999999995E-2</v>
      </c>
      <c r="L23" s="4">
        <v>0.79990000000000006</v>
      </c>
      <c r="M23" s="1" t="s">
        <v>78</v>
      </c>
      <c r="N23" s="1" t="s">
        <v>55</v>
      </c>
      <c r="O23" s="1">
        <v>816</v>
      </c>
      <c r="P23" s="5">
        <v>1574000</v>
      </c>
      <c r="Q23" s="1" t="s">
        <v>40</v>
      </c>
    </row>
    <row r="24" spans="1:18" x14ac:dyDescent="0.4">
      <c r="A24" s="1" t="s">
        <v>79</v>
      </c>
      <c r="B24" s="1" t="s">
        <v>19</v>
      </c>
      <c r="C24" s="1" t="s">
        <v>80</v>
      </c>
      <c r="D24" s="1" t="s">
        <v>21</v>
      </c>
      <c r="E24" s="1" t="s">
        <v>27</v>
      </c>
      <c r="F24" s="2">
        <v>775000</v>
      </c>
      <c r="G24" s="1">
        <v>11</v>
      </c>
      <c r="H24" s="3">
        <v>42947</v>
      </c>
      <c r="I24" s="3">
        <v>43282</v>
      </c>
      <c r="J24" s="4">
        <v>8.5000000000000006E-2</v>
      </c>
      <c r="K24" s="4">
        <v>8.5000000000000006E-2</v>
      </c>
      <c r="L24" s="4">
        <v>0.85</v>
      </c>
      <c r="M24" s="1" t="s">
        <v>81</v>
      </c>
      <c r="N24" s="1" t="s">
        <v>55</v>
      </c>
      <c r="O24" s="1">
        <v>781</v>
      </c>
      <c r="P24" s="5">
        <v>920000</v>
      </c>
      <c r="Q24" s="1" t="s">
        <v>40</v>
      </c>
    </row>
    <row r="25" spans="1:18" x14ac:dyDescent="0.4">
      <c r="A25" s="1" t="s">
        <v>82</v>
      </c>
      <c r="B25" s="1" t="s">
        <v>19</v>
      </c>
      <c r="C25" s="1" t="s">
        <v>83</v>
      </c>
      <c r="D25" s="1" t="s">
        <v>21</v>
      </c>
      <c r="E25" s="1" t="s">
        <v>53</v>
      </c>
      <c r="F25" s="2">
        <v>864000</v>
      </c>
      <c r="G25" s="1">
        <v>11</v>
      </c>
      <c r="H25" s="3">
        <v>42992</v>
      </c>
      <c r="I25" s="3">
        <v>43344</v>
      </c>
      <c r="J25" s="4">
        <v>9.8799999999999999E-2</v>
      </c>
      <c r="K25" s="4">
        <v>9.5000000000000001E-2</v>
      </c>
      <c r="L25" s="4">
        <v>0.72</v>
      </c>
      <c r="M25" s="1" t="s">
        <v>23</v>
      </c>
      <c r="N25" s="1" t="s">
        <v>43</v>
      </c>
      <c r="O25" s="1">
        <v>769</v>
      </c>
      <c r="P25" s="5">
        <v>1200000</v>
      </c>
      <c r="Q25" s="3">
        <v>43089</v>
      </c>
      <c r="R25" s="1">
        <v>3.23</v>
      </c>
    </row>
    <row r="26" spans="1:18" x14ac:dyDescent="0.4">
      <c r="A26" s="1" t="s">
        <v>84</v>
      </c>
      <c r="B26" s="1" t="s">
        <v>38</v>
      </c>
      <c r="C26" s="1" t="s">
        <v>85</v>
      </c>
      <c r="D26" s="1" t="s">
        <v>31</v>
      </c>
      <c r="E26" s="1" t="s">
        <v>27</v>
      </c>
      <c r="F26" s="2">
        <v>575000</v>
      </c>
      <c r="G26" s="1">
        <v>11</v>
      </c>
      <c r="H26" s="3">
        <v>43028</v>
      </c>
      <c r="I26" s="3">
        <v>43374</v>
      </c>
      <c r="J26" s="4">
        <v>9.9000000000000005E-2</v>
      </c>
      <c r="K26" s="4">
        <v>9.5000000000000001E-2</v>
      </c>
      <c r="L26" s="4">
        <v>0.53</v>
      </c>
      <c r="M26" s="1" t="s">
        <v>23</v>
      </c>
      <c r="N26" s="1" t="s">
        <v>36</v>
      </c>
      <c r="O26" s="1">
        <v>674</v>
      </c>
      <c r="P26" s="5">
        <v>1081900</v>
      </c>
      <c r="Q26" s="1" t="s">
        <v>40</v>
      </c>
    </row>
    <row r="27" spans="1:18" x14ac:dyDescent="0.4">
      <c r="A27" s="1" t="s">
        <v>86</v>
      </c>
      <c r="B27" s="1" t="s">
        <v>38</v>
      </c>
      <c r="C27" s="1" t="s">
        <v>87</v>
      </c>
      <c r="D27" s="1" t="s">
        <v>31</v>
      </c>
      <c r="E27" s="1" t="s">
        <v>27</v>
      </c>
      <c r="F27" s="2">
        <v>150000</v>
      </c>
      <c r="G27" s="1">
        <v>11</v>
      </c>
      <c r="H27" s="3">
        <v>42989</v>
      </c>
      <c r="I27" s="3">
        <v>43344</v>
      </c>
      <c r="J27" s="4">
        <v>9.9000000000000005E-2</v>
      </c>
      <c r="K27" s="4">
        <v>9.5000000000000001E-2</v>
      </c>
      <c r="L27" s="4">
        <v>0.33</v>
      </c>
      <c r="M27" s="1" t="s">
        <v>28</v>
      </c>
      <c r="N27" s="1" t="s">
        <v>43</v>
      </c>
      <c r="O27" s="1">
        <v>624</v>
      </c>
      <c r="P27" s="5">
        <v>450000</v>
      </c>
      <c r="Q27" s="1" t="s">
        <v>40</v>
      </c>
    </row>
    <row r="28" spans="1:18" x14ac:dyDescent="0.4">
      <c r="A28" s="1" t="s">
        <v>88</v>
      </c>
      <c r="B28" s="1" t="s">
        <v>38</v>
      </c>
      <c r="C28" s="1" t="s">
        <v>89</v>
      </c>
      <c r="D28" s="1" t="s">
        <v>21</v>
      </c>
      <c r="E28" s="1" t="s">
        <v>27</v>
      </c>
      <c r="F28" s="2">
        <v>415000</v>
      </c>
      <c r="G28" s="1">
        <v>11</v>
      </c>
      <c r="H28" s="3">
        <v>43005</v>
      </c>
      <c r="I28" s="3">
        <v>43344</v>
      </c>
      <c r="J28" s="4">
        <v>0.09</v>
      </c>
      <c r="K28" s="4">
        <v>8.5000000000000006E-2</v>
      </c>
      <c r="L28" s="4">
        <v>0.44900000000000001</v>
      </c>
      <c r="M28" s="1" t="s">
        <v>23</v>
      </c>
      <c r="N28" s="1" t="s">
        <v>43</v>
      </c>
      <c r="O28" s="1">
        <v>636</v>
      </c>
      <c r="P28" s="5">
        <v>925000</v>
      </c>
      <c r="Q28" s="3">
        <v>43266</v>
      </c>
      <c r="R28" s="1">
        <v>8.6999999999999993</v>
      </c>
    </row>
    <row r="29" spans="1:18" x14ac:dyDescent="0.4">
      <c r="A29" s="1" t="s">
        <v>90</v>
      </c>
      <c r="B29" s="1" t="s">
        <v>19</v>
      </c>
      <c r="C29" s="1" t="s">
        <v>91</v>
      </c>
      <c r="D29" s="1" t="s">
        <v>31</v>
      </c>
      <c r="E29" s="1" t="s">
        <v>27</v>
      </c>
      <c r="F29" s="2">
        <v>425000</v>
      </c>
      <c r="G29" s="1">
        <v>11</v>
      </c>
      <c r="H29" s="3">
        <v>43014</v>
      </c>
      <c r="I29" s="3">
        <v>43374</v>
      </c>
      <c r="J29" s="4">
        <v>9.9000000000000005E-2</v>
      </c>
      <c r="K29" s="4">
        <v>9.4E-2</v>
      </c>
      <c r="L29" s="4">
        <v>1.0760000000000001</v>
      </c>
      <c r="M29" s="1" t="s">
        <v>23</v>
      </c>
      <c r="N29" s="1" t="s">
        <v>36</v>
      </c>
      <c r="O29" s="1">
        <v>808</v>
      </c>
      <c r="P29" s="5">
        <v>395000</v>
      </c>
      <c r="Q29" s="3">
        <v>43045</v>
      </c>
      <c r="R29" s="1">
        <v>1.03</v>
      </c>
    </row>
    <row r="30" spans="1:18" x14ac:dyDescent="0.4">
      <c r="A30" s="1" t="s">
        <v>92</v>
      </c>
      <c r="B30" s="1" t="s">
        <v>19</v>
      </c>
      <c r="C30" s="1" t="s">
        <v>93</v>
      </c>
      <c r="D30" s="1" t="s">
        <v>21</v>
      </c>
      <c r="E30" s="1" t="s">
        <v>94</v>
      </c>
      <c r="F30" s="2">
        <v>2000000</v>
      </c>
      <c r="G30" s="1">
        <v>11</v>
      </c>
      <c r="H30" s="3">
        <v>43012</v>
      </c>
      <c r="I30" s="3">
        <v>43374</v>
      </c>
      <c r="J30" s="4">
        <v>9.5000000000000001E-2</v>
      </c>
      <c r="K30" s="4">
        <v>0.09</v>
      </c>
      <c r="L30" s="4">
        <v>0.61699999999999999</v>
      </c>
      <c r="M30" s="1" t="s">
        <v>23</v>
      </c>
      <c r="N30" s="1" t="s">
        <v>36</v>
      </c>
      <c r="O30" s="1">
        <v>790</v>
      </c>
      <c r="P30" s="5">
        <v>4695000</v>
      </c>
      <c r="Q30" s="3">
        <v>43049</v>
      </c>
      <c r="R30" s="1">
        <v>1.23</v>
      </c>
    </row>
    <row r="31" spans="1:18" x14ac:dyDescent="0.4">
      <c r="A31" s="1" t="s">
        <v>95</v>
      </c>
      <c r="B31" s="1" t="s">
        <v>19</v>
      </c>
      <c r="C31" s="1" t="s">
        <v>96</v>
      </c>
      <c r="D31" s="1" t="s">
        <v>31</v>
      </c>
      <c r="E31" s="1" t="s">
        <v>53</v>
      </c>
      <c r="F31" s="2">
        <v>685000</v>
      </c>
      <c r="G31" s="1">
        <v>11</v>
      </c>
      <c r="H31" s="3">
        <v>43055</v>
      </c>
      <c r="I31" s="3">
        <v>43405</v>
      </c>
      <c r="J31" s="4">
        <v>9.5000000000000001E-2</v>
      </c>
      <c r="K31" s="4">
        <v>0.09</v>
      </c>
      <c r="L31" s="4">
        <v>0.48899999999999999</v>
      </c>
      <c r="M31" s="1" t="s">
        <v>28</v>
      </c>
      <c r="N31" s="1" t="s">
        <v>43</v>
      </c>
      <c r="O31" s="1">
        <v>782</v>
      </c>
      <c r="P31" s="5">
        <v>1185000</v>
      </c>
      <c r="Q31" s="3">
        <v>43145</v>
      </c>
      <c r="R31" s="1">
        <v>3</v>
      </c>
    </row>
    <row r="32" spans="1:18" x14ac:dyDescent="0.4">
      <c r="A32" s="1" t="s">
        <v>97</v>
      </c>
      <c r="B32" s="1" t="s">
        <v>38</v>
      </c>
      <c r="C32" s="1" t="s">
        <v>98</v>
      </c>
      <c r="D32" s="1" t="s">
        <v>21</v>
      </c>
      <c r="E32" s="1" t="s">
        <v>27</v>
      </c>
      <c r="F32" s="2">
        <v>100000</v>
      </c>
      <c r="G32" s="1">
        <v>11</v>
      </c>
      <c r="H32" s="3">
        <v>43038</v>
      </c>
      <c r="I32" s="3">
        <v>43374</v>
      </c>
      <c r="J32" s="4">
        <v>0.09</v>
      </c>
      <c r="K32" s="4">
        <v>0.09</v>
      </c>
      <c r="L32" s="4">
        <v>0.39</v>
      </c>
      <c r="M32" s="1" t="s">
        <v>23</v>
      </c>
      <c r="N32" s="1" t="s">
        <v>36</v>
      </c>
      <c r="O32" s="1">
        <v>596</v>
      </c>
      <c r="P32" s="5">
        <v>255000</v>
      </c>
      <c r="Q32" s="3">
        <v>43363</v>
      </c>
      <c r="R32" s="1">
        <v>10.83</v>
      </c>
    </row>
    <row r="33" spans="1:18" x14ac:dyDescent="0.4">
      <c r="A33" s="1" t="s">
        <v>99</v>
      </c>
      <c r="B33" s="1" t="s">
        <v>19</v>
      </c>
      <c r="C33" s="1" t="s">
        <v>100</v>
      </c>
      <c r="D33" s="1" t="s">
        <v>31</v>
      </c>
      <c r="E33" s="1" t="s">
        <v>22</v>
      </c>
      <c r="F33" s="2">
        <v>175000</v>
      </c>
      <c r="G33" s="1">
        <v>11</v>
      </c>
      <c r="H33" s="3">
        <v>43074</v>
      </c>
      <c r="I33" s="3">
        <v>43435</v>
      </c>
      <c r="J33" s="4">
        <v>9.9000000000000005E-2</v>
      </c>
      <c r="K33" s="4">
        <v>9.5000000000000001E-2</v>
      </c>
      <c r="L33" s="4">
        <v>0.59499999999999997</v>
      </c>
      <c r="M33" s="1" t="s">
        <v>28</v>
      </c>
      <c r="N33" s="1" t="s">
        <v>43</v>
      </c>
      <c r="O33" s="1">
        <v>660</v>
      </c>
      <c r="P33" s="5">
        <v>624000</v>
      </c>
      <c r="Q33" s="3">
        <v>43482</v>
      </c>
      <c r="R33" s="1">
        <v>13.6</v>
      </c>
    </row>
    <row r="34" spans="1:18" x14ac:dyDescent="0.4">
      <c r="A34" s="1" t="s">
        <v>101</v>
      </c>
      <c r="B34" s="1" t="s">
        <v>38</v>
      </c>
      <c r="C34" s="1" t="s">
        <v>102</v>
      </c>
      <c r="D34" s="1" t="s">
        <v>31</v>
      </c>
      <c r="E34" s="1" t="s">
        <v>27</v>
      </c>
      <c r="F34" s="2">
        <v>1260000</v>
      </c>
      <c r="G34" s="1">
        <v>11</v>
      </c>
      <c r="H34" s="3">
        <v>43061</v>
      </c>
      <c r="I34" s="3">
        <v>43405</v>
      </c>
      <c r="J34" s="4">
        <v>0.09</v>
      </c>
      <c r="K34" s="4">
        <v>0.09</v>
      </c>
      <c r="L34" s="4">
        <v>0.70799999999999996</v>
      </c>
      <c r="M34" s="1" t="s">
        <v>28</v>
      </c>
      <c r="N34" s="1" t="s">
        <v>43</v>
      </c>
      <c r="O34" s="1">
        <v>619</v>
      </c>
      <c r="P34" s="5">
        <v>2000000</v>
      </c>
      <c r="Q34" s="1" t="s">
        <v>40</v>
      </c>
    </row>
    <row r="35" spans="1:18" x14ac:dyDescent="0.4">
      <c r="A35" s="1" t="s">
        <v>103</v>
      </c>
      <c r="B35" s="1" t="s">
        <v>19</v>
      </c>
      <c r="C35" s="1" t="s">
        <v>104</v>
      </c>
      <c r="D35" s="1" t="s">
        <v>21</v>
      </c>
      <c r="E35" s="1" t="s">
        <v>27</v>
      </c>
      <c r="F35" s="2">
        <v>998000</v>
      </c>
      <c r="G35" s="1">
        <v>11</v>
      </c>
      <c r="H35" s="3">
        <v>43088</v>
      </c>
      <c r="I35" s="3">
        <v>43435</v>
      </c>
      <c r="J35" s="4">
        <v>9.5000000000000001E-2</v>
      </c>
      <c r="K35" s="4">
        <v>0.09</v>
      </c>
      <c r="L35" s="4">
        <v>0.48499999999999999</v>
      </c>
      <c r="M35" s="1" t="s">
        <v>28</v>
      </c>
      <c r="N35" s="1" t="s">
        <v>55</v>
      </c>
      <c r="O35" s="1">
        <v>678</v>
      </c>
      <c r="P35" s="5">
        <v>2800000</v>
      </c>
      <c r="Q35" s="3">
        <v>43220</v>
      </c>
      <c r="R35" s="1">
        <v>4.4000000000000004</v>
      </c>
    </row>
    <row r="36" spans="1:18" x14ac:dyDescent="0.4">
      <c r="A36" s="1" t="s">
        <v>105</v>
      </c>
      <c r="B36" s="1" t="s">
        <v>19</v>
      </c>
      <c r="C36" s="1" t="s">
        <v>106</v>
      </c>
      <c r="D36" s="1" t="s">
        <v>31</v>
      </c>
      <c r="E36" s="1" t="s">
        <v>27</v>
      </c>
      <c r="F36" s="2">
        <v>300000</v>
      </c>
      <c r="G36" s="1">
        <v>11</v>
      </c>
      <c r="H36" s="3">
        <v>43076</v>
      </c>
      <c r="I36" s="3">
        <v>43435</v>
      </c>
      <c r="J36" s="4">
        <v>0.1013</v>
      </c>
      <c r="K36" s="4">
        <v>9.6299999999999997E-2</v>
      </c>
      <c r="L36" s="4">
        <v>0.75</v>
      </c>
      <c r="M36" s="1" t="s">
        <v>28</v>
      </c>
      <c r="N36" s="1" t="s">
        <v>43</v>
      </c>
      <c r="O36" s="1">
        <v>804</v>
      </c>
      <c r="P36" s="5">
        <v>400000</v>
      </c>
      <c r="Q36" s="3">
        <v>43293</v>
      </c>
      <c r="R36" s="1">
        <v>7.23</v>
      </c>
    </row>
    <row r="37" spans="1:18" x14ac:dyDescent="0.4">
      <c r="A37" s="1" t="s">
        <v>107</v>
      </c>
      <c r="B37" s="1" t="s">
        <v>19</v>
      </c>
      <c r="C37" s="1" t="s">
        <v>108</v>
      </c>
      <c r="D37" s="1" t="s">
        <v>31</v>
      </c>
      <c r="E37" s="1" t="s">
        <v>27</v>
      </c>
      <c r="F37" s="2">
        <v>2800000</v>
      </c>
      <c r="G37" s="1">
        <v>11</v>
      </c>
      <c r="H37" s="3">
        <v>43110</v>
      </c>
      <c r="I37" s="3">
        <v>43466</v>
      </c>
      <c r="J37" s="4">
        <v>0.09</v>
      </c>
      <c r="K37" s="4">
        <v>8.7499999999999994E-2</v>
      </c>
      <c r="L37" s="4">
        <v>0.92</v>
      </c>
      <c r="M37" s="1" t="s">
        <v>28</v>
      </c>
      <c r="N37" s="1" t="s">
        <v>43</v>
      </c>
      <c r="O37" s="1">
        <v>673</v>
      </c>
      <c r="P37" s="5">
        <v>4106000</v>
      </c>
      <c r="Q37" s="3">
        <v>43251</v>
      </c>
      <c r="R37" s="1">
        <v>4.7</v>
      </c>
    </row>
    <row r="38" spans="1:18" x14ac:dyDescent="0.4">
      <c r="A38" s="1" t="s">
        <v>109</v>
      </c>
      <c r="B38" s="1" t="s">
        <v>19</v>
      </c>
      <c r="C38" s="1" t="s">
        <v>110</v>
      </c>
      <c r="D38" s="1" t="s">
        <v>21</v>
      </c>
      <c r="E38" s="1" t="s">
        <v>27</v>
      </c>
      <c r="F38" s="2">
        <v>1700000</v>
      </c>
      <c r="G38" s="1">
        <v>11</v>
      </c>
      <c r="H38" s="3">
        <v>43112</v>
      </c>
      <c r="I38" s="3">
        <v>43466</v>
      </c>
      <c r="J38" s="4">
        <v>0.09</v>
      </c>
      <c r="K38" s="4">
        <v>8.5000000000000006E-2</v>
      </c>
      <c r="L38" s="4">
        <v>0.17199999999999999</v>
      </c>
      <c r="M38" s="1" t="s">
        <v>28</v>
      </c>
      <c r="N38" s="1" t="s">
        <v>43</v>
      </c>
      <c r="O38" s="1">
        <v>760</v>
      </c>
      <c r="P38" s="5">
        <v>4500000</v>
      </c>
      <c r="Q38" s="3">
        <v>43152</v>
      </c>
      <c r="R38" s="1">
        <v>1.33</v>
      </c>
    </row>
    <row r="39" spans="1:18" x14ac:dyDescent="0.4">
      <c r="A39" s="1" t="s">
        <v>111</v>
      </c>
      <c r="B39" s="1" t="s">
        <v>19</v>
      </c>
      <c r="C39" s="1" t="s">
        <v>112</v>
      </c>
      <c r="D39" s="1" t="s">
        <v>21</v>
      </c>
      <c r="E39" s="1" t="s">
        <v>27</v>
      </c>
      <c r="F39" s="2">
        <v>1200000</v>
      </c>
      <c r="G39" s="1">
        <v>11</v>
      </c>
      <c r="H39" s="3">
        <v>43097</v>
      </c>
      <c r="I39" s="3">
        <v>43435</v>
      </c>
      <c r="J39" s="4">
        <v>0.105</v>
      </c>
      <c r="K39" s="4">
        <v>0.1</v>
      </c>
      <c r="L39" s="4">
        <v>0.33</v>
      </c>
      <c r="M39" s="1" t="s">
        <v>28</v>
      </c>
      <c r="N39" s="1" t="s">
        <v>43</v>
      </c>
      <c r="O39" s="1">
        <v>807</v>
      </c>
      <c r="P39" s="5">
        <v>3700000</v>
      </c>
      <c r="Q39" s="3">
        <v>43146</v>
      </c>
      <c r="R39" s="1">
        <v>1.63</v>
      </c>
    </row>
    <row r="40" spans="1:18" x14ac:dyDescent="0.4">
      <c r="A40" s="1" t="s">
        <v>113</v>
      </c>
      <c r="B40" s="1" t="s">
        <v>19</v>
      </c>
      <c r="C40" s="1" t="s">
        <v>114</v>
      </c>
      <c r="D40" s="1" t="s">
        <v>21</v>
      </c>
      <c r="E40" s="1" t="s">
        <v>53</v>
      </c>
      <c r="F40" s="2">
        <v>625000</v>
      </c>
      <c r="G40" s="1">
        <v>11</v>
      </c>
      <c r="H40" s="3">
        <v>43112</v>
      </c>
      <c r="I40" s="3">
        <v>43466</v>
      </c>
      <c r="J40" s="4">
        <v>9.5000000000000001E-2</v>
      </c>
      <c r="K40" s="4">
        <v>0.09</v>
      </c>
      <c r="L40" s="4">
        <v>0.64800000000000002</v>
      </c>
      <c r="M40" s="1" t="s">
        <v>28</v>
      </c>
      <c r="N40" s="1" t="s">
        <v>43</v>
      </c>
      <c r="O40" s="1">
        <v>787</v>
      </c>
      <c r="P40" s="5">
        <v>1326000</v>
      </c>
      <c r="Q40" s="3">
        <v>43171</v>
      </c>
      <c r="R40" s="1">
        <v>1.97</v>
      </c>
    </row>
    <row r="41" spans="1:18" x14ac:dyDescent="0.4">
      <c r="A41" s="1" t="s">
        <v>115</v>
      </c>
      <c r="B41" s="1" t="s">
        <v>19</v>
      </c>
      <c r="C41" s="1" t="s">
        <v>116</v>
      </c>
      <c r="D41" s="1" t="s">
        <v>31</v>
      </c>
      <c r="E41" s="1" t="s">
        <v>27</v>
      </c>
      <c r="F41" s="2">
        <v>600000</v>
      </c>
      <c r="G41" s="1">
        <v>11</v>
      </c>
      <c r="H41" s="3">
        <v>43166</v>
      </c>
      <c r="I41" s="3">
        <v>43497</v>
      </c>
      <c r="J41" s="4">
        <v>0.09</v>
      </c>
      <c r="K41" s="4">
        <v>0.09</v>
      </c>
      <c r="L41" s="4">
        <v>0.316</v>
      </c>
      <c r="M41" s="1" t="s">
        <v>28</v>
      </c>
      <c r="N41" s="1" t="s">
        <v>43</v>
      </c>
      <c r="O41" s="1">
        <v>781</v>
      </c>
      <c r="P41" s="5">
        <v>1900000</v>
      </c>
      <c r="Q41" s="3">
        <v>43227</v>
      </c>
      <c r="R41" s="1">
        <v>2.0299999999999998</v>
      </c>
    </row>
    <row r="42" spans="1:18" x14ac:dyDescent="0.4">
      <c r="A42" s="1" t="s">
        <v>117</v>
      </c>
      <c r="B42" s="1" t="s">
        <v>19</v>
      </c>
      <c r="C42" s="1" t="s">
        <v>118</v>
      </c>
      <c r="D42" s="1" t="s">
        <v>31</v>
      </c>
      <c r="E42" s="1" t="s">
        <v>27</v>
      </c>
      <c r="F42" s="2">
        <v>420000</v>
      </c>
      <c r="G42" s="1">
        <v>11</v>
      </c>
      <c r="H42" s="3">
        <v>43171</v>
      </c>
      <c r="I42" s="3">
        <v>43525</v>
      </c>
      <c r="J42" s="4">
        <v>0.105</v>
      </c>
      <c r="K42" s="4">
        <v>0.1</v>
      </c>
      <c r="L42" s="4">
        <v>0.7</v>
      </c>
      <c r="M42" s="1" t="s">
        <v>28</v>
      </c>
      <c r="N42" s="1" t="s">
        <v>55</v>
      </c>
      <c r="O42" s="1">
        <v>713</v>
      </c>
      <c r="P42" s="5">
        <v>600000</v>
      </c>
      <c r="Q42" s="3">
        <v>43285</v>
      </c>
      <c r="R42" s="1">
        <v>3.8</v>
      </c>
    </row>
    <row r="43" spans="1:18" x14ac:dyDescent="0.4">
      <c r="A43" s="1" t="s">
        <v>119</v>
      </c>
      <c r="B43" s="1" t="s">
        <v>19</v>
      </c>
      <c r="C43" s="1" t="s">
        <v>120</v>
      </c>
      <c r="D43" s="1" t="s">
        <v>31</v>
      </c>
      <c r="E43" s="1" t="s">
        <v>27</v>
      </c>
      <c r="F43" s="2">
        <v>1400000</v>
      </c>
      <c r="G43" s="1">
        <v>11</v>
      </c>
      <c r="H43" s="3">
        <v>43179</v>
      </c>
      <c r="I43" s="3">
        <v>43525</v>
      </c>
      <c r="J43" s="4">
        <v>9.5000000000000001E-2</v>
      </c>
      <c r="K43" s="4">
        <v>9.5000000000000001E-2</v>
      </c>
      <c r="L43" s="4">
        <v>0.64300000000000002</v>
      </c>
      <c r="M43" s="1" t="s">
        <v>28</v>
      </c>
      <c r="N43" s="1" t="s">
        <v>43</v>
      </c>
      <c r="O43" s="1">
        <v>788</v>
      </c>
      <c r="P43" s="5">
        <v>2200000</v>
      </c>
      <c r="Q43" s="3">
        <v>43312</v>
      </c>
      <c r="R43" s="1">
        <v>4.43</v>
      </c>
    </row>
    <row r="44" spans="1:18" x14ac:dyDescent="0.4">
      <c r="A44" s="1" t="s">
        <v>121</v>
      </c>
      <c r="B44" s="1" t="s">
        <v>19</v>
      </c>
      <c r="C44" s="1" t="s">
        <v>122</v>
      </c>
      <c r="D44" s="1" t="s">
        <v>31</v>
      </c>
      <c r="E44" s="1" t="s">
        <v>27</v>
      </c>
      <c r="F44" s="2">
        <v>1400000</v>
      </c>
      <c r="G44" s="1">
        <v>11</v>
      </c>
      <c r="H44" s="3">
        <v>43189</v>
      </c>
      <c r="I44" s="3">
        <v>43525</v>
      </c>
      <c r="J44" s="4">
        <v>9.5000000000000001E-2</v>
      </c>
      <c r="K44" s="4">
        <v>9.5000000000000001E-2</v>
      </c>
      <c r="L44" s="4">
        <v>0.69099999999999995</v>
      </c>
      <c r="M44" s="1" t="s">
        <v>28</v>
      </c>
      <c r="N44" s="1" t="s">
        <v>43</v>
      </c>
      <c r="O44" s="1">
        <v>792</v>
      </c>
      <c r="P44" s="5">
        <v>2027273</v>
      </c>
      <c r="Q44" s="3">
        <v>43371</v>
      </c>
      <c r="R44" s="1">
        <v>6.07</v>
      </c>
    </row>
    <row r="45" spans="1:18" x14ac:dyDescent="0.4">
      <c r="A45" s="1" t="s">
        <v>123</v>
      </c>
      <c r="B45" s="1" t="s">
        <v>19</v>
      </c>
      <c r="C45" s="1" t="s">
        <v>124</v>
      </c>
      <c r="D45" s="1" t="s">
        <v>31</v>
      </c>
      <c r="E45" s="1" t="s">
        <v>27</v>
      </c>
      <c r="F45" s="2">
        <v>1100000</v>
      </c>
      <c r="G45" s="1">
        <v>11</v>
      </c>
      <c r="H45" s="3">
        <v>43180</v>
      </c>
      <c r="I45" s="3">
        <v>43525</v>
      </c>
      <c r="J45" s="4">
        <v>9.5000000000000001E-2</v>
      </c>
      <c r="K45" s="4">
        <v>0.09</v>
      </c>
      <c r="L45" s="4">
        <v>0.59</v>
      </c>
      <c r="M45" s="1" t="s">
        <v>28</v>
      </c>
      <c r="N45" s="1" t="s">
        <v>43</v>
      </c>
      <c r="O45" s="1">
        <v>720</v>
      </c>
      <c r="P45" s="5">
        <v>1850000</v>
      </c>
      <c r="Q45" s="3">
        <v>43294</v>
      </c>
      <c r="R45" s="1">
        <v>3.8</v>
      </c>
    </row>
    <row r="46" spans="1:18" x14ac:dyDescent="0.4">
      <c r="A46" s="1" t="s">
        <v>125</v>
      </c>
      <c r="B46" s="1" t="s">
        <v>19</v>
      </c>
      <c r="C46" s="1" t="s">
        <v>126</v>
      </c>
      <c r="D46" s="1" t="s">
        <v>31</v>
      </c>
      <c r="E46" s="1" t="s">
        <v>22</v>
      </c>
      <c r="F46" s="2">
        <v>560000</v>
      </c>
      <c r="G46" s="1">
        <v>11</v>
      </c>
      <c r="H46" s="3">
        <v>43189</v>
      </c>
      <c r="I46" s="3">
        <v>43525</v>
      </c>
      <c r="J46" s="4">
        <v>8.8999999999999996E-2</v>
      </c>
      <c r="K46" s="4">
        <v>8.8999999999999996E-2</v>
      </c>
      <c r="L46" s="4">
        <v>0.504</v>
      </c>
      <c r="M46" s="1" t="s">
        <v>28</v>
      </c>
      <c r="N46" s="1" t="s">
        <v>43</v>
      </c>
      <c r="O46" s="1">
        <v>788</v>
      </c>
      <c r="P46" s="5">
        <v>1355000</v>
      </c>
      <c r="Q46" s="3">
        <v>43287</v>
      </c>
      <c r="R46" s="1">
        <v>3.27</v>
      </c>
    </row>
    <row r="47" spans="1:18" x14ac:dyDescent="0.4">
      <c r="A47" s="1" t="s">
        <v>127</v>
      </c>
      <c r="B47" s="1" t="s">
        <v>19</v>
      </c>
      <c r="C47" s="1" t="s">
        <v>128</v>
      </c>
      <c r="D47" s="1" t="s">
        <v>31</v>
      </c>
      <c r="E47" s="1" t="s">
        <v>27</v>
      </c>
      <c r="F47" s="2">
        <v>830000</v>
      </c>
      <c r="G47" s="1">
        <v>11</v>
      </c>
      <c r="H47" s="3">
        <v>43189</v>
      </c>
      <c r="I47" s="3">
        <v>43525</v>
      </c>
      <c r="J47" s="4">
        <v>0.09</v>
      </c>
      <c r="K47" s="4">
        <v>0.09</v>
      </c>
      <c r="L47" s="4">
        <v>0.59399999999999997</v>
      </c>
      <c r="M47" s="1" t="s">
        <v>28</v>
      </c>
      <c r="N47" s="1" t="s">
        <v>43</v>
      </c>
      <c r="O47" s="1">
        <v>742</v>
      </c>
      <c r="P47" s="5">
        <v>1430000</v>
      </c>
      <c r="Q47" s="3">
        <v>43291</v>
      </c>
      <c r="R47" s="1">
        <v>3.4</v>
      </c>
    </row>
    <row r="48" spans="1:18" x14ac:dyDescent="0.4">
      <c r="A48" s="1" t="s">
        <v>129</v>
      </c>
      <c r="B48" s="1" t="s">
        <v>19</v>
      </c>
      <c r="C48" s="1" t="s">
        <v>130</v>
      </c>
      <c r="D48" s="1" t="s">
        <v>21</v>
      </c>
      <c r="E48" s="1" t="s">
        <v>27</v>
      </c>
      <c r="F48" s="2">
        <v>1280000</v>
      </c>
      <c r="G48" s="1">
        <v>11</v>
      </c>
      <c r="H48" s="3">
        <v>43220</v>
      </c>
      <c r="I48" s="3">
        <v>43556</v>
      </c>
      <c r="J48" s="4">
        <v>9.9000000000000005E-2</v>
      </c>
      <c r="K48" s="4">
        <v>9.5000000000000001E-2</v>
      </c>
      <c r="L48" s="4">
        <v>0.753</v>
      </c>
      <c r="M48" s="1" t="s">
        <v>28</v>
      </c>
      <c r="N48" s="1" t="s">
        <v>43</v>
      </c>
      <c r="O48" s="1">
        <v>789</v>
      </c>
      <c r="P48" s="5">
        <v>2975000</v>
      </c>
      <c r="Q48" s="3">
        <v>43488</v>
      </c>
      <c r="R48" s="1">
        <v>8.93</v>
      </c>
    </row>
    <row r="49" spans="1:18" x14ac:dyDescent="0.4">
      <c r="A49" s="1" t="s">
        <v>131</v>
      </c>
      <c r="B49" s="1" t="s">
        <v>38</v>
      </c>
      <c r="C49" s="1" t="s">
        <v>132</v>
      </c>
      <c r="D49" s="1" t="s">
        <v>21</v>
      </c>
      <c r="E49" s="1" t="s">
        <v>27</v>
      </c>
      <c r="F49" s="2">
        <v>1050000</v>
      </c>
      <c r="G49" s="1">
        <v>11</v>
      </c>
      <c r="H49" s="3">
        <v>43207</v>
      </c>
      <c r="I49" s="3">
        <v>43556</v>
      </c>
      <c r="J49" s="4">
        <v>9.5000000000000001E-2</v>
      </c>
      <c r="K49" s="4">
        <v>0.09</v>
      </c>
      <c r="L49" s="4">
        <v>0.68600000000000005</v>
      </c>
      <c r="M49" s="1" t="s">
        <v>28</v>
      </c>
      <c r="N49" s="1" t="s">
        <v>43</v>
      </c>
      <c r="O49" s="1">
        <v>652</v>
      </c>
      <c r="P49" s="5">
        <v>1700000</v>
      </c>
      <c r="Q49" s="1" t="s">
        <v>40</v>
      </c>
    </row>
    <row r="50" spans="1:18" x14ac:dyDescent="0.4">
      <c r="A50" s="1" t="s">
        <v>133</v>
      </c>
      <c r="B50" s="1" t="s">
        <v>19</v>
      </c>
      <c r="C50" s="1" t="s">
        <v>134</v>
      </c>
      <c r="D50" s="1" t="s">
        <v>21</v>
      </c>
      <c r="E50" s="1" t="s">
        <v>27</v>
      </c>
      <c r="F50" s="2">
        <v>112000</v>
      </c>
      <c r="G50" s="1">
        <v>11</v>
      </c>
      <c r="H50" s="3">
        <v>43220</v>
      </c>
      <c r="I50" s="3">
        <v>43556</v>
      </c>
      <c r="J50" s="4">
        <v>8.5000000000000006E-2</v>
      </c>
      <c r="K50" s="4">
        <v>0.08</v>
      </c>
      <c r="L50" s="4">
        <v>0.21</v>
      </c>
      <c r="M50" s="1" t="s">
        <v>28</v>
      </c>
      <c r="N50" s="1" t="s">
        <v>43</v>
      </c>
      <c r="O50" s="1">
        <v>798</v>
      </c>
      <c r="P50" s="5">
        <v>534000</v>
      </c>
      <c r="Q50" s="3">
        <v>43327</v>
      </c>
      <c r="R50" s="1">
        <v>3.57</v>
      </c>
    </row>
    <row r="51" spans="1:18" x14ac:dyDescent="0.4">
      <c r="A51" s="1" t="s">
        <v>135</v>
      </c>
      <c r="B51" s="1" t="s">
        <v>19</v>
      </c>
      <c r="C51" s="1" t="s">
        <v>136</v>
      </c>
      <c r="D51" s="1" t="s">
        <v>21</v>
      </c>
      <c r="E51" s="1" t="s">
        <v>27</v>
      </c>
      <c r="F51" s="2">
        <v>215000</v>
      </c>
      <c r="G51" s="1">
        <v>11</v>
      </c>
      <c r="H51" s="3">
        <v>43228</v>
      </c>
      <c r="I51" s="3">
        <v>43586</v>
      </c>
      <c r="J51" s="4">
        <v>8.5000000000000006E-2</v>
      </c>
      <c r="K51" s="4">
        <v>0.08</v>
      </c>
      <c r="L51" s="4">
        <v>0.25700000000000001</v>
      </c>
      <c r="M51" s="1" t="s">
        <v>28</v>
      </c>
      <c r="N51" s="1" t="s">
        <v>43</v>
      </c>
      <c r="O51" s="1">
        <v>777</v>
      </c>
      <c r="P51" s="5">
        <v>834990</v>
      </c>
      <c r="Q51" s="3">
        <v>43460</v>
      </c>
      <c r="R51" s="1">
        <v>7.73</v>
      </c>
    </row>
    <row r="52" spans="1:18" x14ac:dyDescent="0.4">
      <c r="A52" s="1" t="s">
        <v>137</v>
      </c>
      <c r="B52" s="1" t="s">
        <v>19</v>
      </c>
      <c r="C52" s="1" t="s">
        <v>138</v>
      </c>
      <c r="D52" s="1" t="s">
        <v>21</v>
      </c>
      <c r="E52" s="1" t="s">
        <v>27</v>
      </c>
      <c r="F52" s="2">
        <v>2815000</v>
      </c>
      <c r="G52" s="1">
        <v>11</v>
      </c>
      <c r="H52" s="3">
        <v>43234</v>
      </c>
      <c r="I52" s="3">
        <v>43586</v>
      </c>
      <c r="J52" s="4">
        <v>0.09</v>
      </c>
      <c r="K52" s="4">
        <v>8.8800000000000004E-2</v>
      </c>
      <c r="L52" s="4">
        <v>0.495</v>
      </c>
      <c r="M52" s="1" t="s">
        <v>28</v>
      </c>
      <c r="N52" s="1" t="s">
        <v>43</v>
      </c>
      <c r="O52" s="1">
        <v>778</v>
      </c>
      <c r="P52" s="5">
        <v>15815000</v>
      </c>
      <c r="Q52" s="3">
        <v>43281</v>
      </c>
      <c r="R52" s="1">
        <v>1.57</v>
      </c>
    </row>
    <row r="53" spans="1:18" x14ac:dyDescent="0.4">
      <c r="A53" s="1" t="s">
        <v>139</v>
      </c>
      <c r="B53" s="1" t="s">
        <v>38</v>
      </c>
      <c r="C53" s="1" t="s">
        <v>140</v>
      </c>
      <c r="D53" s="1" t="s">
        <v>31</v>
      </c>
      <c r="E53" s="1" t="s">
        <v>53</v>
      </c>
      <c r="F53" s="2">
        <v>1150000</v>
      </c>
      <c r="G53" s="1">
        <v>11</v>
      </c>
      <c r="H53" s="3">
        <v>43265</v>
      </c>
      <c r="I53" s="3">
        <v>43617</v>
      </c>
      <c r="J53" s="4">
        <v>0.09</v>
      </c>
      <c r="K53" s="4">
        <v>8.5000000000000006E-2</v>
      </c>
      <c r="L53" s="4">
        <v>0.65100000000000002</v>
      </c>
      <c r="M53" s="1" t="s">
        <v>28</v>
      </c>
      <c r="N53" s="1" t="s">
        <v>43</v>
      </c>
      <c r="O53" s="1">
        <v>677</v>
      </c>
      <c r="P53" s="5">
        <v>3104000</v>
      </c>
      <c r="Q53" s="1" t="s">
        <v>40</v>
      </c>
    </row>
    <row r="54" spans="1:18" x14ac:dyDescent="0.4">
      <c r="A54" s="1" t="s">
        <v>141</v>
      </c>
      <c r="B54" s="1" t="s">
        <v>38</v>
      </c>
      <c r="C54" s="1" t="s">
        <v>142</v>
      </c>
      <c r="D54" s="1" t="s">
        <v>31</v>
      </c>
      <c r="E54" s="1" t="s">
        <v>27</v>
      </c>
      <c r="F54" s="2">
        <v>180000</v>
      </c>
      <c r="G54" s="1">
        <v>11</v>
      </c>
      <c r="H54" s="3">
        <v>43263</v>
      </c>
      <c r="I54" s="3">
        <v>43617</v>
      </c>
      <c r="J54" s="4">
        <v>0.09</v>
      </c>
      <c r="K54" s="4">
        <v>8.5000000000000006E-2</v>
      </c>
      <c r="L54" s="4">
        <v>0.218</v>
      </c>
      <c r="M54" s="1" t="s">
        <v>28</v>
      </c>
      <c r="N54" s="1" t="s">
        <v>43</v>
      </c>
      <c r="O54" s="1" t="s">
        <v>40</v>
      </c>
      <c r="P54" s="5">
        <v>825000</v>
      </c>
      <c r="Q54" s="1" t="s">
        <v>40</v>
      </c>
    </row>
    <row r="55" spans="1:18" x14ac:dyDescent="0.4">
      <c r="A55" s="1" t="s">
        <v>143</v>
      </c>
      <c r="B55" s="1" t="s">
        <v>19</v>
      </c>
      <c r="C55" s="1" t="s">
        <v>144</v>
      </c>
      <c r="D55" s="1" t="s">
        <v>21</v>
      </c>
      <c r="E55" s="1" t="s">
        <v>53</v>
      </c>
      <c r="F55" s="2">
        <v>890000</v>
      </c>
      <c r="G55" s="1">
        <v>11</v>
      </c>
      <c r="H55" s="3">
        <v>43307</v>
      </c>
      <c r="I55" s="3">
        <v>43647</v>
      </c>
      <c r="J55" s="4">
        <v>0.09</v>
      </c>
      <c r="K55" s="4">
        <v>0.09</v>
      </c>
      <c r="L55" s="4">
        <v>0.51500000000000001</v>
      </c>
      <c r="M55" s="1" t="s">
        <v>145</v>
      </c>
      <c r="N55" s="1" t="s">
        <v>43</v>
      </c>
      <c r="O55" s="1">
        <v>781</v>
      </c>
      <c r="P55" s="5">
        <v>2481000</v>
      </c>
      <c r="Q55" s="1" t="s">
        <v>40</v>
      </c>
    </row>
    <row r="56" spans="1:18" x14ac:dyDescent="0.4">
      <c r="A56" s="1" t="s">
        <v>146</v>
      </c>
      <c r="B56" s="1" t="s">
        <v>19</v>
      </c>
      <c r="C56" s="1" t="s">
        <v>147</v>
      </c>
      <c r="D56" s="1" t="s">
        <v>31</v>
      </c>
      <c r="E56" s="1" t="s">
        <v>27</v>
      </c>
      <c r="F56" s="2">
        <v>120000</v>
      </c>
      <c r="G56" s="1">
        <v>11</v>
      </c>
      <c r="H56" s="3">
        <v>43297</v>
      </c>
      <c r="I56" s="3">
        <v>43647</v>
      </c>
      <c r="J56" s="4">
        <v>0.1</v>
      </c>
      <c r="K56" s="4">
        <v>9.5000000000000001E-2</v>
      </c>
      <c r="L56" s="4">
        <v>0.50700000000000001</v>
      </c>
      <c r="M56" s="1" t="s">
        <v>28</v>
      </c>
      <c r="N56" s="1" t="s">
        <v>55</v>
      </c>
      <c r="O56" s="1">
        <v>638</v>
      </c>
      <c r="P56" s="5">
        <v>190000</v>
      </c>
      <c r="Q56" s="3">
        <v>43420</v>
      </c>
      <c r="R56" s="1">
        <v>4.0999999999999996</v>
      </c>
    </row>
    <row r="57" spans="1:18" x14ac:dyDescent="0.4">
      <c r="A57" s="1" t="s">
        <v>148</v>
      </c>
      <c r="B57" s="1" t="s">
        <v>19</v>
      </c>
      <c r="C57" s="1" t="s">
        <v>149</v>
      </c>
      <c r="D57" s="1" t="s">
        <v>21</v>
      </c>
      <c r="E57" s="1" t="s">
        <v>22</v>
      </c>
      <c r="F57" s="2">
        <v>400000</v>
      </c>
      <c r="G57" s="1">
        <v>11</v>
      </c>
      <c r="H57" s="3">
        <v>43297</v>
      </c>
      <c r="I57" s="3">
        <v>43647</v>
      </c>
      <c r="J57" s="4">
        <v>0.1</v>
      </c>
      <c r="K57" s="4">
        <v>9.5000000000000001E-2</v>
      </c>
      <c r="L57" s="4">
        <v>0.66500000000000004</v>
      </c>
      <c r="M57" s="1" t="s">
        <v>28</v>
      </c>
      <c r="N57" s="1" t="s">
        <v>43</v>
      </c>
      <c r="O57" s="1">
        <v>707</v>
      </c>
      <c r="P57" s="5">
        <v>1030000</v>
      </c>
      <c r="Q57" s="3">
        <v>43381</v>
      </c>
      <c r="R57" s="1">
        <v>2.8</v>
      </c>
    </row>
    <row r="58" spans="1:18" x14ac:dyDescent="0.4">
      <c r="A58" s="1" t="s">
        <v>150</v>
      </c>
      <c r="B58" s="1" t="s">
        <v>19</v>
      </c>
      <c r="C58" s="1" t="s">
        <v>151</v>
      </c>
      <c r="D58" s="1" t="s">
        <v>21</v>
      </c>
      <c r="E58" s="1" t="s">
        <v>27</v>
      </c>
      <c r="F58" s="2">
        <v>1250000</v>
      </c>
      <c r="G58" s="1">
        <v>11</v>
      </c>
      <c r="H58" s="3">
        <v>43294</v>
      </c>
      <c r="I58" s="3">
        <v>43647</v>
      </c>
      <c r="J58" s="4">
        <v>9.5000000000000001E-2</v>
      </c>
      <c r="K58" s="4">
        <v>0.09</v>
      </c>
      <c r="L58" s="4">
        <v>0.6</v>
      </c>
      <c r="M58" s="1" t="s">
        <v>28</v>
      </c>
      <c r="N58" s="1" t="s">
        <v>43</v>
      </c>
      <c r="O58" s="1">
        <v>782</v>
      </c>
      <c r="P58" s="5">
        <v>1250000</v>
      </c>
      <c r="Q58" s="3">
        <v>43347</v>
      </c>
      <c r="R58" s="1">
        <v>1.77</v>
      </c>
    </row>
    <row r="59" spans="1:18" x14ac:dyDescent="0.4">
      <c r="A59" s="1" t="s">
        <v>152</v>
      </c>
      <c r="B59" s="1" t="s">
        <v>19</v>
      </c>
      <c r="C59" s="1" t="s">
        <v>153</v>
      </c>
      <c r="D59" s="1" t="s">
        <v>31</v>
      </c>
      <c r="E59" s="1" t="s">
        <v>27</v>
      </c>
      <c r="F59" s="2">
        <v>588000</v>
      </c>
      <c r="G59" s="1">
        <v>11</v>
      </c>
      <c r="H59" s="3">
        <v>43315</v>
      </c>
      <c r="I59" s="3">
        <v>43344</v>
      </c>
      <c r="J59" s="4">
        <v>0.09</v>
      </c>
      <c r="K59" s="4">
        <v>8.5000000000000006E-2</v>
      </c>
      <c r="L59" s="4">
        <v>0.64980000000000004</v>
      </c>
      <c r="M59" s="1" t="s">
        <v>28</v>
      </c>
      <c r="N59" s="1" t="s">
        <v>43</v>
      </c>
      <c r="O59" s="1">
        <v>804</v>
      </c>
      <c r="P59" s="5">
        <v>573000</v>
      </c>
      <c r="Q59" s="3">
        <v>43402</v>
      </c>
      <c r="R59" s="1">
        <v>2.9</v>
      </c>
    </row>
    <row r="60" spans="1:18" x14ac:dyDescent="0.4">
      <c r="A60" s="1" t="s">
        <v>154</v>
      </c>
      <c r="B60" s="1" t="s">
        <v>19</v>
      </c>
      <c r="C60" s="1" t="s">
        <v>155</v>
      </c>
      <c r="D60" s="1" t="s">
        <v>21</v>
      </c>
      <c r="E60" s="1" t="s">
        <v>27</v>
      </c>
      <c r="F60" s="2">
        <v>1100000</v>
      </c>
      <c r="G60" s="1">
        <v>11</v>
      </c>
      <c r="H60" s="3">
        <v>43301</v>
      </c>
      <c r="I60" s="3">
        <v>43647</v>
      </c>
      <c r="J60" s="4">
        <v>0.09</v>
      </c>
      <c r="K60" s="4">
        <v>8.5000000000000006E-2</v>
      </c>
      <c r="L60" s="4">
        <v>0.59199999999999997</v>
      </c>
      <c r="M60" s="1" t="s">
        <v>28</v>
      </c>
      <c r="N60" s="1" t="s">
        <v>43</v>
      </c>
      <c r="O60" s="1">
        <v>707</v>
      </c>
      <c r="P60" s="5">
        <v>2025000</v>
      </c>
      <c r="Q60" s="3">
        <v>43371</v>
      </c>
      <c r="R60" s="1">
        <v>2.33</v>
      </c>
    </row>
    <row r="61" spans="1:18" x14ac:dyDescent="0.4">
      <c r="A61" s="1" t="s">
        <v>156</v>
      </c>
      <c r="B61" s="1" t="s">
        <v>19</v>
      </c>
      <c r="C61" s="1" t="s">
        <v>157</v>
      </c>
      <c r="D61" s="1" t="s">
        <v>31</v>
      </c>
      <c r="E61" s="1" t="s">
        <v>27</v>
      </c>
      <c r="F61" s="2">
        <v>938000</v>
      </c>
      <c r="G61" s="1">
        <v>11</v>
      </c>
      <c r="H61" s="3">
        <v>43306</v>
      </c>
      <c r="I61" s="3">
        <v>43647</v>
      </c>
      <c r="J61" s="4">
        <v>9.5000000000000001E-2</v>
      </c>
      <c r="K61" s="4">
        <v>0.09</v>
      </c>
      <c r="L61" s="4">
        <v>0.55400000000000005</v>
      </c>
      <c r="M61" s="1" t="s">
        <v>28</v>
      </c>
      <c r="N61" s="1" t="s">
        <v>43</v>
      </c>
      <c r="O61" s="1">
        <v>748</v>
      </c>
      <c r="P61" s="5">
        <v>1693000</v>
      </c>
      <c r="Q61" s="3">
        <v>43392</v>
      </c>
      <c r="R61" s="1">
        <v>2.87</v>
      </c>
    </row>
    <row r="62" spans="1:18" x14ac:dyDescent="0.4">
      <c r="A62" s="1" t="s">
        <v>158</v>
      </c>
      <c r="B62" s="1" t="s">
        <v>38</v>
      </c>
      <c r="C62" s="1" t="s">
        <v>159</v>
      </c>
      <c r="D62" s="1" t="s">
        <v>21</v>
      </c>
      <c r="E62" s="1" t="s">
        <v>27</v>
      </c>
      <c r="F62" s="2">
        <v>817200</v>
      </c>
      <c r="G62" s="1">
        <v>11</v>
      </c>
      <c r="H62" s="3">
        <v>43315</v>
      </c>
      <c r="I62" s="3">
        <v>43647</v>
      </c>
      <c r="J62" s="4">
        <v>0.09</v>
      </c>
      <c r="K62" s="4">
        <v>8.5000000000000006E-2</v>
      </c>
      <c r="L62" s="4">
        <v>0.72</v>
      </c>
      <c r="M62" s="1" t="s">
        <v>28</v>
      </c>
      <c r="N62" s="1" t="s">
        <v>43</v>
      </c>
      <c r="O62" s="1">
        <v>684</v>
      </c>
      <c r="P62" s="5">
        <v>1135000</v>
      </c>
      <c r="Q62" s="1" t="s">
        <v>40</v>
      </c>
    </row>
    <row r="63" spans="1:18" x14ac:dyDescent="0.4">
      <c r="A63" s="1" t="s">
        <v>160</v>
      </c>
      <c r="B63" s="1" t="s">
        <v>38</v>
      </c>
      <c r="C63" s="1" t="s">
        <v>161</v>
      </c>
      <c r="D63" s="1" t="s">
        <v>21</v>
      </c>
      <c r="E63" s="1" t="s">
        <v>27</v>
      </c>
      <c r="F63" s="2">
        <v>625000</v>
      </c>
      <c r="G63" s="1">
        <v>11</v>
      </c>
      <c r="H63" s="3">
        <v>43320</v>
      </c>
      <c r="I63" s="3">
        <v>43678</v>
      </c>
      <c r="J63" s="4">
        <v>9.9000000000000005E-2</v>
      </c>
      <c r="K63" s="4">
        <v>9.5000000000000001E-2</v>
      </c>
      <c r="L63" s="4">
        <v>0.78100000000000003</v>
      </c>
      <c r="M63" s="1" t="s">
        <v>28</v>
      </c>
      <c r="N63" s="1" t="s">
        <v>55</v>
      </c>
      <c r="O63" s="1">
        <v>723</v>
      </c>
      <c r="P63" s="5">
        <v>950000</v>
      </c>
      <c r="Q63" s="1" t="s">
        <v>40</v>
      </c>
    </row>
    <row r="64" spans="1:18" x14ac:dyDescent="0.4">
      <c r="A64" s="1" t="s">
        <v>162</v>
      </c>
      <c r="B64" s="1" t="s">
        <v>19</v>
      </c>
      <c r="C64" s="1" t="s">
        <v>163</v>
      </c>
      <c r="D64" s="1" t="s">
        <v>21</v>
      </c>
      <c r="E64" s="1" t="s">
        <v>27</v>
      </c>
      <c r="F64" s="2">
        <v>3350000</v>
      </c>
      <c r="G64" s="1">
        <v>11</v>
      </c>
      <c r="H64" s="3">
        <v>43334</v>
      </c>
      <c r="I64" s="3">
        <v>43678</v>
      </c>
      <c r="J64" s="4">
        <v>0.09</v>
      </c>
      <c r="K64" s="4">
        <v>8.5000000000000006E-2</v>
      </c>
      <c r="L64" s="4">
        <v>0.49099999999999999</v>
      </c>
      <c r="M64" s="1" t="s">
        <v>28</v>
      </c>
      <c r="N64" s="1" t="s">
        <v>43</v>
      </c>
      <c r="O64" s="1">
        <v>740</v>
      </c>
      <c r="P64" s="5">
        <v>8000000</v>
      </c>
      <c r="Q64" s="3">
        <v>43466</v>
      </c>
      <c r="R64" s="1">
        <v>4.4000000000000004</v>
      </c>
    </row>
    <row r="65" spans="1:18" x14ac:dyDescent="0.4">
      <c r="A65" s="1" t="s">
        <v>164</v>
      </c>
      <c r="B65" s="1" t="s">
        <v>19</v>
      </c>
      <c r="C65" s="1" t="s">
        <v>165</v>
      </c>
      <c r="D65" s="1" t="s">
        <v>21</v>
      </c>
      <c r="E65" s="1" t="s">
        <v>53</v>
      </c>
      <c r="F65" s="2">
        <v>940000</v>
      </c>
      <c r="G65" s="1">
        <v>11</v>
      </c>
      <c r="H65" s="3">
        <v>43334</v>
      </c>
      <c r="I65" s="3">
        <v>43678</v>
      </c>
      <c r="J65" s="4">
        <v>9.9000000000000005E-2</v>
      </c>
      <c r="K65" s="4">
        <v>9.4E-2</v>
      </c>
      <c r="L65" s="4">
        <v>0.7</v>
      </c>
      <c r="M65" s="1" t="s">
        <v>28</v>
      </c>
      <c r="N65" s="1" t="s">
        <v>43</v>
      </c>
      <c r="O65" s="1">
        <v>676</v>
      </c>
      <c r="P65" s="5">
        <v>1887000</v>
      </c>
      <c r="Q65" s="3">
        <v>43463</v>
      </c>
      <c r="R65" s="1">
        <v>4.3</v>
      </c>
    </row>
    <row r="66" spans="1:18" x14ac:dyDescent="0.4">
      <c r="A66" s="1" t="s">
        <v>166</v>
      </c>
      <c r="B66" s="1" t="s">
        <v>19</v>
      </c>
      <c r="C66" s="1" t="s">
        <v>167</v>
      </c>
      <c r="D66" s="1" t="s">
        <v>31</v>
      </c>
      <c r="E66" s="1" t="s">
        <v>27</v>
      </c>
      <c r="F66" s="2">
        <v>539000</v>
      </c>
      <c r="G66" s="1">
        <v>11</v>
      </c>
      <c r="H66" s="3">
        <v>43328</v>
      </c>
      <c r="I66" s="3">
        <v>43678</v>
      </c>
      <c r="J66" s="4">
        <v>9.9000000000000005E-2</v>
      </c>
      <c r="K66" s="4">
        <v>9.9000000000000005E-2</v>
      </c>
      <c r="L66" s="4">
        <v>0.7</v>
      </c>
      <c r="M66" s="1" t="s">
        <v>28</v>
      </c>
      <c r="N66" s="1" t="s">
        <v>43</v>
      </c>
      <c r="O66" s="1">
        <v>600</v>
      </c>
      <c r="P66" s="5">
        <v>770000</v>
      </c>
      <c r="Q66" s="3">
        <v>43472</v>
      </c>
      <c r="R66" s="1">
        <v>4.8</v>
      </c>
    </row>
    <row r="67" spans="1:18" x14ac:dyDescent="0.4">
      <c r="A67" s="1" t="s">
        <v>168</v>
      </c>
      <c r="B67" s="1" t="s">
        <v>38</v>
      </c>
      <c r="C67" s="1" t="s">
        <v>169</v>
      </c>
      <c r="D67" s="1" t="s">
        <v>31</v>
      </c>
      <c r="E67" s="1" t="s">
        <v>27</v>
      </c>
      <c r="F67" s="2">
        <v>210000</v>
      </c>
      <c r="G67" s="1">
        <v>11</v>
      </c>
      <c r="H67" s="3">
        <v>43336</v>
      </c>
      <c r="I67" s="3">
        <v>43678</v>
      </c>
      <c r="J67" s="4">
        <v>8.9899999999999994E-2</v>
      </c>
      <c r="K67" s="4">
        <v>8.9899999999999994E-2</v>
      </c>
      <c r="L67" s="4">
        <v>0.156</v>
      </c>
      <c r="M67" s="1" t="s">
        <v>28</v>
      </c>
      <c r="N67" s="1" t="s">
        <v>43</v>
      </c>
      <c r="O67" s="1">
        <v>667</v>
      </c>
      <c r="P67" s="5">
        <v>700000</v>
      </c>
      <c r="Q67" s="1" t="s">
        <v>40</v>
      </c>
    </row>
    <row r="68" spans="1:18" x14ac:dyDescent="0.4">
      <c r="A68" s="1" t="s">
        <v>170</v>
      </c>
      <c r="B68" s="1" t="s">
        <v>19</v>
      </c>
      <c r="C68" s="1" t="s">
        <v>171</v>
      </c>
      <c r="D68" s="1" t="s">
        <v>21</v>
      </c>
      <c r="E68" s="1" t="s">
        <v>27</v>
      </c>
      <c r="F68" s="2">
        <v>910000</v>
      </c>
      <c r="G68" s="1">
        <v>11</v>
      </c>
      <c r="H68" s="3">
        <v>43362</v>
      </c>
      <c r="I68" s="3">
        <v>43709</v>
      </c>
      <c r="J68" s="4">
        <v>9.5000000000000001E-2</v>
      </c>
      <c r="K68" s="4">
        <v>0.09</v>
      </c>
      <c r="L68" s="4">
        <v>0.7</v>
      </c>
      <c r="M68" s="1" t="s">
        <v>28</v>
      </c>
      <c r="N68" s="1" t="s">
        <v>55</v>
      </c>
      <c r="O68" s="1">
        <v>730</v>
      </c>
      <c r="P68" s="5">
        <v>1300000</v>
      </c>
      <c r="Q68" s="3">
        <v>43468</v>
      </c>
      <c r="R68" s="1">
        <v>3.53</v>
      </c>
    </row>
    <row r="69" spans="1:18" x14ac:dyDescent="0.4">
      <c r="A69" s="1" t="s">
        <v>172</v>
      </c>
      <c r="B69" s="1" t="s">
        <v>38</v>
      </c>
      <c r="C69" s="1" t="s">
        <v>173</v>
      </c>
      <c r="D69" s="1" t="s">
        <v>31</v>
      </c>
      <c r="E69" s="1" t="s">
        <v>27</v>
      </c>
      <c r="F69" s="2">
        <v>496000</v>
      </c>
      <c r="G69" s="1">
        <v>11</v>
      </c>
      <c r="H69" s="3">
        <v>43363</v>
      </c>
      <c r="I69" s="3">
        <v>43709</v>
      </c>
      <c r="J69" s="4">
        <v>0.09</v>
      </c>
      <c r="K69" s="4">
        <v>0.09</v>
      </c>
      <c r="L69" s="4">
        <v>0.10199999999999999</v>
      </c>
      <c r="M69" s="1" t="s">
        <v>28</v>
      </c>
      <c r="N69" s="1" t="s">
        <v>43</v>
      </c>
      <c r="O69" s="1" t="s">
        <v>40</v>
      </c>
      <c r="P69" s="5">
        <v>2660300</v>
      </c>
      <c r="Q69" s="1" t="s">
        <v>40</v>
      </c>
    </row>
    <row r="70" spans="1:18" x14ac:dyDescent="0.4">
      <c r="A70" s="1" t="s">
        <v>174</v>
      </c>
      <c r="B70" s="1" t="s">
        <v>38</v>
      </c>
      <c r="C70" s="1" t="s">
        <v>175</v>
      </c>
      <c r="D70" s="1" t="s">
        <v>21</v>
      </c>
      <c r="E70" s="1" t="s">
        <v>27</v>
      </c>
      <c r="F70" s="2">
        <v>832300</v>
      </c>
      <c r="G70" s="1">
        <v>11</v>
      </c>
      <c r="H70" s="3">
        <v>43363</v>
      </c>
      <c r="I70" s="3">
        <v>43405</v>
      </c>
      <c r="J70" s="4">
        <v>9.9000000000000005E-2</v>
      </c>
      <c r="K70" s="4">
        <v>9.4E-2</v>
      </c>
      <c r="L70" s="4">
        <v>0.66700000000000004</v>
      </c>
      <c r="M70" s="1" t="s">
        <v>28</v>
      </c>
      <c r="N70" s="1" t="s">
        <v>43</v>
      </c>
      <c r="O70" s="1">
        <v>717</v>
      </c>
      <c r="P70" s="5">
        <v>1248000</v>
      </c>
      <c r="Q70" s="1" t="s">
        <v>40</v>
      </c>
    </row>
    <row r="71" spans="1:18" x14ac:dyDescent="0.4">
      <c r="A71" s="1" t="s">
        <v>176</v>
      </c>
      <c r="B71" s="1" t="s">
        <v>19</v>
      </c>
      <c r="C71" s="1" t="s">
        <v>177</v>
      </c>
      <c r="D71" s="1" t="s">
        <v>31</v>
      </c>
      <c r="E71" s="1" t="s">
        <v>27</v>
      </c>
      <c r="F71" s="2">
        <v>965000</v>
      </c>
      <c r="G71" s="1">
        <v>11</v>
      </c>
      <c r="H71" s="3">
        <v>43378</v>
      </c>
      <c r="I71" s="3">
        <v>43739</v>
      </c>
      <c r="J71" s="4">
        <v>8.5000000000000006E-2</v>
      </c>
      <c r="K71" s="4">
        <v>0.08</v>
      </c>
      <c r="L71" s="4">
        <v>0.75700000000000001</v>
      </c>
      <c r="M71" s="1" t="s">
        <v>28</v>
      </c>
      <c r="N71" s="1" t="s">
        <v>43</v>
      </c>
      <c r="O71" s="1">
        <v>800</v>
      </c>
      <c r="P71" s="5">
        <v>1450000</v>
      </c>
      <c r="Q71" s="3">
        <v>43468</v>
      </c>
      <c r="R71" s="1">
        <v>3</v>
      </c>
    </row>
    <row r="72" spans="1:18" x14ac:dyDescent="0.4">
      <c r="A72" s="1" t="s">
        <v>178</v>
      </c>
      <c r="B72" s="1" t="s">
        <v>38</v>
      </c>
      <c r="C72" s="1" t="s">
        <v>179</v>
      </c>
      <c r="D72" s="1" t="s">
        <v>31</v>
      </c>
      <c r="E72" s="1" t="s">
        <v>27</v>
      </c>
      <c r="F72" s="2">
        <v>129500</v>
      </c>
      <c r="G72" s="1">
        <v>11</v>
      </c>
      <c r="H72" s="3">
        <v>43371</v>
      </c>
      <c r="I72" s="3">
        <v>43709</v>
      </c>
      <c r="J72" s="4">
        <v>9.9000000000000005E-2</v>
      </c>
      <c r="K72" s="4">
        <v>9.4E-2</v>
      </c>
      <c r="L72" s="4">
        <v>0.69899999999999995</v>
      </c>
      <c r="M72" s="1" t="s">
        <v>28</v>
      </c>
      <c r="N72" s="1" t="s">
        <v>43</v>
      </c>
      <c r="O72" s="1">
        <v>587</v>
      </c>
      <c r="P72" s="5">
        <v>185250</v>
      </c>
      <c r="Q72" s="1" t="s">
        <v>40</v>
      </c>
    </row>
    <row r="73" spans="1:18" x14ac:dyDescent="0.4">
      <c r="A73" s="1" t="s">
        <v>180</v>
      </c>
      <c r="B73" s="1" t="s">
        <v>38</v>
      </c>
      <c r="C73" s="1" t="s">
        <v>181</v>
      </c>
      <c r="D73" s="1" t="s">
        <v>31</v>
      </c>
      <c r="E73" s="1" t="s">
        <v>27</v>
      </c>
      <c r="F73" s="2">
        <v>650000</v>
      </c>
      <c r="G73" s="1">
        <v>11</v>
      </c>
      <c r="H73" s="3">
        <v>43385</v>
      </c>
      <c r="I73" s="3">
        <v>43739</v>
      </c>
      <c r="J73" s="4">
        <v>8.9899999999999994E-2</v>
      </c>
      <c r="K73" s="4">
        <v>8.2500000000000004E-2</v>
      </c>
      <c r="L73" s="4">
        <v>0.45</v>
      </c>
      <c r="M73" s="1" t="s">
        <v>28</v>
      </c>
      <c r="N73" s="1" t="s">
        <v>43</v>
      </c>
      <c r="O73" s="1">
        <v>732</v>
      </c>
      <c r="P73" s="5">
        <v>2100000</v>
      </c>
      <c r="Q73" s="1" t="s">
        <v>40</v>
      </c>
    </row>
    <row r="74" spans="1:18" x14ac:dyDescent="0.4">
      <c r="A74" s="1" t="s">
        <v>182</v>
      </c>
      <c r="B74" s="1" t="s">
        <v>19</v>
      </c>
      <c r="C74" s="1" t="s">
        <v>183</v>
      </c>
      <c r="D74" s="1" t="s">
        <v>31</v>
      </c>
      <c r="E74" s="1" t="s">
        <v>27</v>
      </c>
      <c r="F74" s="2">
        <v>600000</v>
      </c>
      <c r="G74" s="1">
        <v>11</v>
      </c>
      <c r="H74" s="3">
        <v>43385</v>
      </c>
      <c r="I74" s="3">
        <v>43739</v>
      </c>
      <c r="J74" s="4">
        <v>9.5000000000000001E-2</v>
      </c>
      <c r="K74" s="4">
        <v>0.09</v>
      </c>
      <c r="L74" s="4">
        <v>0.52</v>
      </c>
      <c r="M74" s="1" t="s">
        <v>28</v>
      </c>
      <c r="N74" s="1" t="s">
        <v>43</v>
      </c>
      <c r="O74" s="1">
        <v>746</v>
      </c>
      <c r="P74" s="5">
        <v>1000000</v>
      </c>
      <c r="Q74" s="3">
        <v>43452</v>
      </c>
      <c r="R74" s="1">
        <v>2.23</v>
      </c>
    </row>
    <row r="75" spans="1:18" x14ac:dyDescent="0.4">
      <c r="A75" s="1" t="s">
        <v>184</v>
      </c>
      <c r="B75" s="1" t="s">
        <v>38</v>
      </c>
      <c r="C75" s="1" t="s">
        <v>185</v>
      </c>
      <c r="D75" s="1" t="s">
        <v>31</v>
      </c>
      <c r="E75" s="1" t="s">
        <v>22</v>
      </c>
      <c r="F75" s="2">
        <v>450000</v>
      </c>
      <c r="G75" s="1">
        <v>11</v>
      </c>
      <c r="H75" s="3">
        <v>43405</v>
      </c>
      <c r="I75" s="3">
        <v>43739</v>
      </c>
      <c r="J75" s="4">
        <v>8.9899999999999994E-2</v>
      </c>
      <c r="K75" s="4">
        <v>8.5000000000000006E-2</v>
      </c>
      <c r="L75" s="4">
        <v>0.67600000000000005</v>
      </c>
      <c r="M75" s="1" t="s">
        <v>28</v>
      </c>
      <c r="N75" s="1" t="s">
        <v>43</v>
      </c>
      <c r="O75" s="1">
        <v>751</v>
      </c>
      <c r="P75" s="5">
        <v>1080000</v>
      </c>
      <c r="Q75" s="1" t="s">
        <v>40</v>
      </c>
    </row>
    <row r="76" spans="1:18" x14ac:dyDescent="0.4">
      <c r="A76" s="1" t="s">
        <v>186</v>
      </c>
      <c r="B76" s="1" t="s">
        <v>19</v>
      </c>
      <c r="C76" s="1" t="s">
        <v>187</v>
      </c>
      <c r="D76" s="1" t="s">
        <v>21</v>
      </c>
      <c r="E76" s="1" t="s">
        <v>53</v>
      </c>
      <c r="F76" s="2">
        <v>2116000</v>
      </c>
      <c r="G76" s="1">
        <v>11</v>
      </c>
      <c r="H76" s="3">
        <v>43409</v>
      </c>
      <c r="I76" s="3">
        <v>43770</v>
      </c>
      <c r="J76" s="4">
        <v>9.5000000000000001E-2</v>
      </c>
      <c r="K76" s="4">
        <v>0.09</v>
      </c>
      <c r="L76" s="4">
        <v>0.6</v>
      </c>
      <c r="M76" s="1" t="s">
        <v>28</v>
      </c>
      <c r="N76" s="1" t="s">
        <v>43</v>
      </c>
      <c r="O76" s="1">
        <v>788</v>
      </c>
      <c r="P76" s="5">
        <v>2700000</v>
      </c>
      <c r="Q76" s="3">
        <v>43460</v>
      </c>
      <c r="R76" s="1">
        <v>1.7</v>
      </c>
    </row>
    <row r="77" spans="1:18" x14ac:dyDescent="0.4">
      <c r="A77" s="1" t="s">
        <v>188</v>
      </c>
      <c r="B77" s="1" t="s">
        <v>38</v>
      </c>
      <c r="C77" s="1" t="s">
        <v>189</v>
      </c>
      <c r="D77" s="1" t="s">
        <v>31</v>
      </c>
      <c r="E77" s="1" t="s">
        <v>53</v>
      </c>
      <c r="F77" s="2">
        <v>700000</v>
      </c>
      <c r="G77" s="1">
        <v>11</v>
      </c>
      <c r="H77" s="3">
        <v>43418</v>
      </c>
      <c r="I77" s="3">
        <v>43770</v>
      </c>
      <c r="J77" s="4">
        <v>0.09</v>
      </c>
      <c r="K77" s="4">
        <v>0.09</v>
      </c>
      <c r="L77" s="4">
        <v>0.69</v>
      </c>
      <c r="M77" s="1" t="s">
        <v>28</v>
      </c>
      <c r="N77" s="1" t="s">
        <v>43</v>
      </c>
      <c r="O77" s="1">
        <v>686</v>
      </c>
      <c r="P77" s="5">
        <v>1284000</v>
      </c>
      <c r="Q77" s="1" t="s">
        <v>40</v>
      </c>
    </row>
    <row r="78" spans="1:18" x14ac:dyDescent="0.4">
      <c r="A78" s="1" t="s">
        <v>190</v>
      </c>
      <c r="B78" s="1" t="s">
        <v>38</v>
      </c>
      <c r="C78" s="1" t="s">
        <v>191</v>
      </c>
      <c r="D78" s="1" t="s">
        <v>21</v>
      </c>
      <c r="E78" s="1" t="s">
        <v>27</v>
      </c>
      <c r="F78" s="2">
        <v>1122000</v>
      </c>
      <c r="G78" s="1">
        <v>11</v>
      </c>
      <c r="H78" s="3">
        <v>43419</v>
      </c>
      <c r="I78" s="3">
        <v>43770</v>
      </c>
      <c r="J78" s="4">
        <v>9.7500000000000003E-2</v>
      </c>
      <c r="K78" s="4">
        <v>9.2499999999999999E-2</v>
      </c>
      <c r="L78" s="4">
        <v>0.7</v>
      </c>
      <c r="M78" s="1" t="s">
        <v>28</v>
      </c>
      <c r="N78" s="1" t="s">
        <v>43</v>
      </c>
      <c r="O78" s="1">
        <v>663</v>
      </c>
      <c r="P78" s="5">
        <v>1603000</v>
      </c>
      <c r="Q78" s="1" t="s">
        <v>40</v>
      </c>
    </row>
    <row r="79" spans="1:18" x14ac:dyDescent="0.4">
      <c r="A79" s="1" t="s">
        <v>192</v>
      </c>
      <c r="B79" s="1" t="s">
        <v>38</v>
      </c>
      <c r="C79" s="1" t="s">
        <v>193</v>
      </c>
      <c r="D79" s="1" t="s">
        <v>21</v>
      </c>
      <c r="E79" s="1" t="s">
        <v>27</v>
      </c>
      <c r="F79" s="2">
        <v>1200000</v>
      </c>
      <c r="G79" s="1">
        <v>11</v>
      </c>
      <c r="H79" s="3">
        <v>43431</v>
      </c>
      <c r="I79" s="3">
        <v>43770</v>
      </c>
      <c r="J79" s="4">
        <v>9.9000000000000005E-2</v>
      </c>
      <c r="K79" s="4">
        <v>8.8999999999999996E-2</v>
      </c>
      <c r="L79" s="4">
        <v>0.64400000000000002</v>
      </c>
      <c r="M79" s="1" t="s">
        <v>28</v>
      </c>
      <c r="N79" s="1" t="s">
        <v>43</v>
      </c>
      <c r="O79" s="1">
        <v>789</v>
      </c>
      <c r="P79" s="5">
        <v>1800000</v>
      </c>
      <c r="Q79" s="1" t="s">
        <v>40</v>
      </c>
    </row>
    <row r="80" spans="1:18" x14ac:dyDescent="0.4">
      <c r="A80" s="1" t="s">
        <v>194</v>
      </c>
      <c r="B80" s="1" t="s">
        <v>38</v>
      </c>
      <c r="C80" s="1" t="s">
        <v>195</v>
      </c>
      <c r="D80" s="1" t="s">
        <v>21</v>
      </c>
      <c r="E80" s="1" t="s">
        <v>27</v>
      </c>
      <c r="F80" s="2">
        <v>700000</v>
      </c>
      <c r="G80" s="1">
        <v>11</v>
      </c>
      <c r="H80" s="3">
        <v>43455</v>
      </c>
      <c r="I80" s="3">
        <v>43800</v>
      </c>
      <c r="J80" s="4">
        <v>8.7499999999999994E-2</v>
      </c>
      <c r="K80" s="4">
        <v>8.5000000000000006E-2</v>
      </c>
      <c r="L80" s="4">
        <v>0.55600000000000005</v>
      </c>
      <c r="M80" s="1" t="s">
        <v>28</v>
      </c>
      <c r="N80" s="1" t="s">
        <v>43</v>
      </c>
      <c r="O80" s="1">
        <v>738</v>
      </c>
      <c r="P80" s="5">
        <v>1595000</v>
      </c>
      <c r="Q80" s="1" t="s">
        <v>40</v>
      </c>
    </row>
    <row r="81" spans="1:17" x14ac:dyDescent="0.4">
      <c r="A81" s="1" t="s">
        <v>196</v>
      </c>
      <c r="B81" s="1" t="s">
        <v>38</v>
      </c>
      <c r="C81" s="1" t="s">
        <v>197</v>
      </c>
      <c r="D81" s="1" t="s">
        <v>21</v>
      </c>
      <c r="E81" s="1" t="s">
        <v>27</v>
      </c>
      <c r="F81" s="2">
        <v>1739550</v>
      </c>
      <c r="G81" s="1">
        <v>11</v>
      </c>
      <c r="H81" s="3">
        <v>43461</v>
      </c>
      <c r="I81" s="3">
        <v>43800</v>
      </c>
      <c r="J81" s="4">
        <v>9.5000000000000001E-2</v>
      </c>
      <c r="K81" s="4">
        <v>0.09</v>
      </c>
      <c r="L81" s="4">
        <v>0.62</v>
      </c>
      <c r="M81" s="1" t="s">
        <v>28</v>
      </c>
      <c r="N81" s="1" t="s">
        <v>43</v>
      </c>
      <c r="O81" s="1">
        <v>776</v>
      </c>
      <c r="P81" s="5">
        <v>4074000</v>
      </c>
      <c r="Q81" s="1" t="s">
        <v>40</v>
      </c>
    </row>
    <row r="82" spans="1:17" x14ac:dyDescent="0.4">
      <c r="A82" s="1" t="s">
        <v>198</v>
      </c>
      <c r="B82" s="1" t="s">
        <v>38</v>
      </c>
      <c r="C82" s="1" t="s">
        <v>199</v>
      </c>
      <c r="D82" s="1" t="s">
        <v>31</v>
      </c>
      <c r="E82" s="1" t="s">
        <v>27</v>
      </c>
      <c r="F82" s="2">
        <v>290000</v>
      </c>
      <c r="G82" s="1">
        <v>11</v>
      </c>
      <c r="H82" s="3">
        <v>43462</v>
      </c>
      <c r="I82" s="3">
        <v>43800</v>
      </c>
      <c r="J82" s="4">
        <v>9.7500000000000003E-2</v>
      </c>
      <c r="K82" s="4">
        <v>9.2499999999999999E-2</v>
      </c>
      <c r="L82" s="4">
        <v>0.50900000000000001</v>
      </c>
      <c r="M82" s="1" t="s">
        <v>28</v>
      </c>
      <c r="N82" s="1" t="s">
        <v>43</v>
      </c>
      <c r="O82" s="1">
        <v>598</v>
      </c>
      <c r="P82" s="5">
        <v>570000</v>
      </c>
      <c r="Q82" s="1" t="s">
        <v>40</v>
      </c>
    </row>
    <row r="83" spans="1:17" x14ac:dyDescent="0.4">
      <c r="A83" s="1" t="s">
        <v>200</v>
      </c>
      <c r="B83" s="1" t="s">
        <v>38</v>
      </c>
      <c r="C83" s="1" t="s">
        <v>201</v>
      </c>
      <c r="D83" s="1" t="s">
        <v>21</v>
      </c>
      <c r="E83" s="1" t="s">
        <v>53</v>
      </c>
      <c r="F83" s="2">
        <v>745000</v>
      </c>
      <c r="G83" s="1">
        <v>11</v>
      </c>
      <c r="H83" s="3">
        <v>43489</v>
      </c>
      <c r="I83" s="3">
        <v>43831</v>
      </c>
      <c r="J83" s="4">
        <v>9.9000000000000005E-2</v>
      </c>
      <c r="K83" s="4">
        <v>0.09</v>
      </c>
      <c r="L83" s="4">
        <v>0.55500000000000005</v>
      </c>
      <c r="M83" s="1" t="s">
        <v>28</v>
      </c>
      <c r="N83" s="1" t="s">
        <v>43</v>
      </c>
      <c r="O83" s="1">
        <v>766</v>
      </c>
      <c r="P83" s="5">
        <v>1460000</v>
      </c>
      <c r="Q83" s="1" t="s">
        <v>40</v>
      </c>
    </row>
  </sheetData>
  <conditionalFormatting sqref="A1:XFD1048576">
    <cfRule type="expression" dxfId="1" priority="1">
      <formula>(AND(ISNUMBER(A1), NOT(_xlfn.ISFORMULA(A1)),NOT(ISBLANK(A1))))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71C78-C67D-49B6-8829-68A7CEAD9948}">
  <dimension ref="A1:Q74"/>
  <sheetViews>
    <sheetView showGridLines="0" zoomScale="75" zoomScaleNormal="75" workbookViewId="0"/>
  </sheetViews>
  <sheetFormatPr defaultColWidth="9" defaultRowHeight="12.3" x14ac:dyDescent="0.4"/>
  <cols>
    <col min="1" max="16384" width="9" style="1"/>
  </cols>
  <sheetData>
    <row r="1" spans="1:17" x14ac:dyDescent="0.4">
      <c r="A1" s="1" t="s">
        <v>375</v>
      </c>
      <c r="B1" s="1" t="s">
        <v>405</v>
      </c>
      <c r="C1" s="1" t="s">
        <v>391</v>
      </c>
      <c r="D1" s="1" t="s">
        <v>405</v>
      </c>
      <c r="E1" s="1" t="s">
        <v>381</v>
      </c>
      <c r="F1" s="2" t="s">
        <v>405</v>
      </c>
      <c r="H1" s="3"/>
      <c r="I1" s="3"/>
      <c r="J1" s="4"/>
      <c r="K1" s="4"/>
      <c r="L1" s="4"/>
      <c r="P1" s="5"/>
      <c r="Q1" s="3"/>
    </row>
    <row r="2" spans="1:17" x14ac:dyDescent="0.4">
      <c r="A2" s="1" t="s">
        <v>400</v>
      </c>
      <c r="B2" s="1" t="s">
        <v>399</v>
      </c>
      <c r="C2" s="1" t="s">
        <v>410</v>
      </c>
      <c r="D2" s="1" t="s">
        <v>406</v>
      </c>
      <c r="E2" s="1" t="s">
        <v>414</v>
      </c>
      <c r="F2" s="2" t="s">
        <v>415</v>
      </c>
      <c r="H2" s="3"/>
      <c r="I2" s="3"/>
      <c r="J2" s="4"/>
      <c r="K2" s="4"/>
      <c r="L2" s="4"/>
      <c r="P2" s="5"/>
      <c r="Q2" s="3"/>
    </row>
    <row r="3" spans="1:17" x14ac:dyDescent="0.4">
      <c r="A3" s="1" t="s">
        <v>28</v>
      </c>
      <c r="B3" s="1" t="s">
        <v>23</v>
      </c>
      <c r="C3" s="1" t="s">
        <v>411</v>
      </c>
      <c r="D3" s="1" t="s">
        <v>407</v>
      </c>
      <c r="E3" s="1" t="s">
        <v>416</v>
      </c>
      <c r="F3" s="2" t="s">
        <v>417</v>
      </c>
      <c r="H3" s="3"/>
      <c r="I3" s="3"/>
      <c r="J3" s="4"/>
      <c r="K3" s="4"/>
      <c r="L3" s="4"/>
      <c r="P3" s="5"/>
    </row>
    <row r="4" spans="1:17" x14ac:dyDescent="0.4">
      <c r="A4" s="1" t="s">
        <v>401</v>
      </c>
      <c r="B4" s="1" t="s">
        <v>402</v>
      </c>
      <c r="C4" s="1" t="s">
        <v>412</v>
      </c>
      <c r="D4" s="1" t="s">
        <v>408</v>
      </c>
      <c r="E4" s="1" t="s">
        <v>418</v>
      </c>
      <c r="F4" s="2" t="s">
        <v>419</v>
      </c>
      <c r="H4" s="3"/>
      <c r="I4" s="3"/>
      <c r="J4" s="4"/>
      <c r="K4" s="4"/>
      <c r="L4" s="4"/>
      <c r="P4" s="5"/>
      <c r="Q4" s="3"/>
    </row>
    <row r="5" spans="1:17" x14ac:dyDescent="0.4">
      <c r="C5" s="1" t="s">
        <v>413</v>
      </c>
      <c r="D5" s="1" t="s">
        <v>409</v>
      </c>
      <c r="E5" s="1" t="s">
        <v>421</v>
      </c>
      <c r="F5" s="2" t="s">
        <v>420</v>
      </c>
      <c r="H5" s="3"/>
      <c r="I5" s="3"/>
      <c r="J5" s="4"/>
      <c r="K5" s="4"/>
      <c r="L5" s="4"/>
      <c r="P5" s="5"/>
      <c r="Q5" s="3"/>
    </row>
    <row r="6" spans="1:17" x14ac:dyDescent="0.4">
      <c r="E6" s="1" t="s">
        <v>422</v>
      </c>
      <c r="F6" s="2" t="s">
        <v>423</v>
      </c>
      <c r="H6" s="3"/>
      <c r="I6" s="3"/>
      <c r="J6" s="4"/>
      <c r="K6" s="4"/>
      <c r="L6" s="4"/>
      <c r="P6" s="5"/>
      <c r="Q6" s="3"/>
    </row>
    <row r="7" spans="1:17" x14ac:dyDescent="0.4">
      <c r="F7" s="2"/>
      <c r="H7" s="3"/>
      <c r="I7" s="3"/>
      <c r="J7" s="4"/>
      <c r="K7" s="4"/>
      <c r="L7" s="4"/>
      <c r="P7" s="5"/>
      <c r="Q7" s="3"/>
    </row>
    <row r="8" spans="1:17" x14ac:dyDescent="0.4">
      <c r="F8" s="2"/>
      <c r="H8" s="3"/>
      <c r="I8" s="3"/>
      <c r="J8" s="4"/>
      <c r="K8" s="4"/>
      <c r="L8" s="4"/>
      <c r="P8" s="5"/>
    </row>
    <row r="9" spans="1:17" x14ac:dyDescent="0.4">
      <c r="F9" s="2"/>
      <c r="H9" s="3"/>
      <c r="I9" s="3"/>
      <c r="J9" s="4"/>
      <c r="K9" s="4"/>
      <c r="L9" s="4"/>
      <c r="P9" s="5"/>
      <c r="Q9" s="3"/>
    </row>
    <row r="10" spans="1:17" x14ac:dyDescent="0.4">
      <c r="F10" s="2"/>
      <c r="H10" s="3"/>
      <c r="I10" s="3"/>
      <c r="J10" s="4"/>
      <c r="K10" s="4"/>
      <c r="L10" s="4"/>
      <c r="P10" s="5"/>
      <c r="Q10" s="3"/>
    </row>
    <row r="11" spans="1:17" x14ac:dyDescent="0.4">
      <c r="F11" s="2"/>
      <c r="H11" s="3"/>
      <c r="I11" s="3"/>
      <c r="J11" s="4"/>
      <c r="K11" s="4"/>
      <c r="L11" s="4"/>
      <c r="P11" s="5"/>
      <c r="Q11" s="3"/>
    </row>
    <row r="12" spans="1:17" x14ac:dyDescent="0.4">
      <c r="F12" s="2"/>
      <c r="H12" s="3"/>
      <c r="I12" s="3"/>
      <c r="J12" s="4"/>
      <c r="K12" s="4"/>
      <c r="L12" s="4"/>
      <c r="P12" s="5"/>
      <c r="Q12" s="3"/>
    </row>
    <row r="13" spans="1:17" x14ac:dyDescent="0.4">
      <c r="F13" s="2"/>
      <c r="H13" s="3"/>
      <c r="I13" s="3"/>
      <c r="J13" s="4"/>
      <c r="K13" s="4"/>
      <c r="L13" s="4"/>
      <c r="P13" s="5"/>
      <c r="Q13" s="3"/>
    </row>
    <row r="14" spans="1:17" x14ac:dyDescent="0.4">
      <c r="F14" s="2"/>
      <c r="H14" s="3"/>
      <c r="I14" s="3"/>
      <c r="J14" s="4"/>
      <c r="K14" s="4"/>
      <c r="L14" s="4"/>
      <c r="P14" s="5"/>
    </row>
    <row r="15" spans="1:17" x14ac:dyDescent="0.4">
      <c r="F15" s="2"/>
      <c r="H15" s="3"/>
      <c r="I15" s="3"/>
      <c r="J15" s="4"/>
      <c r="K15" s="4"/>
      <c r="L15" s="4"/>
      <c r="P15" s="5"/>
    </row>
    <row r="16" spans="1:17" x14ac:dyDescent="0.4">
      <c r="F16" s="2"/>
      <c r="H16" s="3"/>
      <c r="I16" s="3"/>
      <c r="J16" s="4"/>
      <c r="K16" s="4"/>
      <c r="L16" s="4"/>
      <c r="P16" s="5"/>
      <c r="Q16" s="3"/>
    </row>
    <row r="17" spans="6:17" x14ac:dyDescent="0.4">
      <c r="F17" s="2"/>
      <c r="H17" s="3"/>
      <c r="I17" s="3"/>
      <c r="J17" s="4"/>
      <c r="K17" s="4"/>
      <c r="L17" s="4"/>
      <c r="P17" s="5"/>
    </row>
    <row r="18" spans="6:17" x14ac:dyDescent="0.4">
      <c r="F18" s="2"/>
      <c r="H18" s="3"/>
      <c r="I18" s="3"/>
      <c r="J18" s="4"/>
      <c r="K18" s="4"/>
      <c r="L18" s="4"/>
      <c r="P18" s="5"/>
    </row>
    <row r="19" spans="6:17" x14ac:dyDescent="0.4">
      <c r="F19" s="2"/>
      <c r="H19" s="3"/>
      <c r="I19" s="3"/>
      <c r="J19" s="4"/>
      <c r="K19" s="4"/>
      <c r="L19" s="4"/>
      <c r="P19" s="5"/>
      <c r="Q19" s="3"/>
    </row>
    <row r="20" spans="6:17" x14ac:dyDescent="0.4">
      <c r="F20" s="2"/>
      <c r="H20" s="3"/>
      <c r="I20" s="3"/>
      <c r="J20" s="4"/>
      <c r="K20" s="4"/>
      <c r="L20" s="4"/>
      <c r="P20" s="5"/>
      <c r="Q20" s="3"/>
    </row>
    <row r="21" spans="6:17" x14ac:dyDescent="0.4">
      <c r="F21" s="2"/>
      <c r="H21" s="3"/>
      <c r="I21" s="3"/>
      <c r="J21" s="4"/>
      <c r="K21" s="4"/>
      <c r="L21" s="4"/>
      <c r="P21" s="5"/>
      <c r="Q21" s="3"/>
    </row>
    <row r="22" spans="6:17" x14ac:dyDescent="0.4">
      <c r="F22" s="2"/>
      <c r="H22" s="3"/>
      <c r="I22" s="3"/>
      <c r="J22" s="4"/>
      <c r="K22" s="4"/>
      <c r="L22" s="4"/>
      <c r="P22" s="5"/>
      <c r="Q22" s="3"/>
    </row>
    <row r="23" spans="6:17" x14ac:dyDescent="0.4">
      <c r="F23" s="2"/>
      <c r="H23" s="3"/>
      <c r="I23" s="3"/>
      <c r="J23" s="4"/>
      <c r="K23" s="4"/>
      <c r="L23" s="4"/>
      <c r="P23" s="5"/>
      <c r="Q23" s="3"/>
    </row>
    <row r="24" spans="6:17" x14ac:dyDescent="0.4">
      <c r="F24" s="2"/>
      <c r="H24" s="3"/>
      <c r="I24" s="3"/>
      <c r="J24" s="4"/>
      <c r="K24" s="4"/>
      <c r="L24" s="4"/>
      <c r="P24" s="5"/>
      <c r="Q24" s="3"/>
    </row>
    <row r="25" spans="6:17" x14ac:dyDescent="0.4">
      <c r="F25" s="2"/>
      <c r="H25" s="3"/>
      <c r="I25" s="3"/>
      <c r="J25" s="4"/>
      <c r="K25" s="4"/>
      <c r="L25" s="4"/>
      <c r="P25" s="5"/>
    </row>
    <row r="26" spans="6:17" x14ac:dyDescent="0.4">
      <c r="F26" s="2"/>
      <c r="H26" s="3"/>
      <c r="I26" s="3"/>
      <c r="J26" s="4"/>
      <c r="K26" s="4"/>
      <c r="L26" s="4"/>
      <c r="P26" s="5"/>
      <c r="Q26" s="3"/>
    </row>
    <row r="27" spans="6:17" x14ac:dyDescent="0.4">
      <c r="F27" s="2"/>
      <c r="H27" s="3"/>
      <c r="I27" s="3"/>
      <c r="J27" s="4"/>
      <c r="K27" s="4"/>
      <c r="L27" s="4"/>
      <c r="P27" s="5"/>
      <c r="Q27" s="3"/>
    </row>
    <row r="28" spans="6:17" x14ac:dyDescent="0.4">
      <c r="F28" s="2"/>
      <c r="H28" s="3"/>
      <c r="I28" s="3"/>
      <c r="J28" s="4"/>
      <c r="K28" s="4"/>
      <c r="L28" s="4"/>
      <c r="P28" s="5"/>
      <c r="Q28" s="3"/>
    </row>
    <row r="29" spans="6:17" x14ac:dyDescent="0.4">
      <c r="F29" s="2"/>
      <c r="H29" s="3"/>
      <c r="I29" s="3"/>
      <c r="J29" s="4"/>
      <c r="K29" s="4"/>
      <c r="L29" s="4"/>
      <c r="P29" s="5"/>
      <c r="Q29" s="3"/>
    </row>
    <row r="30" spans="6:17" x14ac:dyDescent="0.4">
      <c r="F30" s="2"/>
      <c r="H30" s="3"/>
      <c r="I30" s="3"/>
      <c r="J30" s="4"/>
      <c r="K30" s="4"/>
      <c r="L30" s="4"/>
      <c r="P30" s="5"/>
      <c r="Q30" s="3"/>
    </row>
    <row r="31" spans="6:17" x14ac:dyDescent="0.4">
      <c r="F31" s="2"/>
      <c r="H31" s="3"/>
      <c r="I31" s="3"/>
      <c r="J31" s="4"/>
      <c r="K31" s="4"/>
      <c r="L31" s="4"/>
      <c r="P31" s="5"/>
      <c r="Q31" s="3"/>
    </row>
    <row r="32" spans="6:17" x14ac:dyDescent="0.4">
      <c r="F32" s="2"/>
      <c r="H32" s="3"/>
      <c r="I32" s="3"/>
      <c r="J32" s="4"/>
      <c r="K32" s="4"/>
      <c r="L32" s="4"/>
      <c r="P32" s="5"/>
      <c r="Q32" s="3"/>
    </row>
    <row r="33" spans="6:17" x14ac:dyDescent="0.4">
      <c r="F33" s="2"/>
      <c r="H33" s="3"/>
      <c r="I33" s="3"/>
      <c r="J33" s="4"/>
      <c r="K33" s="4"/>
      <c r="L33" s="4"/>
      <c r="P33" s="5"/>
      <c r="Q33" s="3"/>
    </row>
    <row r="34" spans="6:17" x14ac:dyDescent="0.4">
      <c r="F34" s="2"/>
      <c r="H34" s="3"/>
      <c r="I34" s="3"/>
      <c r="J34" s="4"/>
      <c r="K34" s="4"/>
      <c r="L34" s="4"/>
      <c r="P34" s="5"/>
      <c r="Q34" s="3"/>
    </row>
    <row r="35" spans="6:17" x14ac:dyDescent="0.4">
      <c r="F35" s="2"/>
      <c r="H35" s="3"/>
      <c r="I35" s="3"/>
      <c r="J35" s="4"/>
      <c r="K35" s="4"/>
      <c r="L35" s="4"/>
      <c r="P35" s="5"/>
      <c r="Q35" s="3"/>
    </row>
    <row r="36" spans="6:17" x14ac:dyDescent="0.4">
      <c r="F36" s="2"/>
      <c r="H36" s="3"/>
      <c r="I36" s="3"/>
      <c r="J36" s="4"/>
      <c r="K36" s="4"/>
      <c r="L36" s="4"/>
      <c r="P36" s="5"/>
      <c r="Q36" s="3"/>
    </row>
    <row r="37" spans="6:17" x14ac:dyDescent="0.4">
      <c r="F37" s="2"/>
      <c r="H37" s="3"/>
      <c r="I37" s="3"/>
      <c r="J37" s="4"/>
      <c r="K37" s="4"/>
      <c r="L37" s="4"/>
      <c r="P37" s="5"/>
      <c r="Q37" s="3"/>
    </row>
    <row r="38" spans="6:17" x14ac:dyDescent="0.4">
      <c r="F38" s="2"/>
      <c r="H38" s="3"/>
      <c r="I38" s="3"/>
      <c r="J38" s="4"/>
      <c r="K38" s="4"/>
      <c r="L38" s="4"/>
      <c r="P38" s="5"/>
      <c r="Q38" s="3"/>
    </row>
    <row r="39" spans="6:17" x14ac:dyDescent="0.4">
      <c r="F39" s="2"/>
      <c r="H39" s="3"/>
      <c r="I39" s="3"/>
      <c r="J39" s="4"/>
      <c r="K39" s="4"/>
      <c r="L39" s="4"/>
      <c r="P39" s="5"/>
      <c r="Q39" s="3"/>
    </row>
    <row r="40" spans="6:17" x14ac:dyDescent="0.4">
      <c r="F40" s="2"/>
      <c r="H40" s="3"/>
      <c r="I40" s="3"/>
      <c r="J40" s="4"/>
      <c r="K40" s="4"/>
      <c r="L40" s="4"/>
      <c r="P40" s="5"/>
    </row>
    <row r="41" spans="6:17" x14ac:dyDescent="0.4">
      <c r="F41" s="2"/>
      <c r="H41" s="3"/>
      <c r="I41" s="3"/>
      <c r="J41" s="4"/>
      <c r="K41" s="4"/>
      <c r="L41" s="4"/>
      <c r="P41" s="5"/>
      <c r="Q41" s="3"/>
    </row>
    <row r="42" spans="6:17" x14ac:dyDescent="0.4">
      <c r="F42" s="2"/>
      <c r="H42" s="3"/>
      <c r="I42" s="3"/>
      <c r="J42" s="4"/>
      <c r="K42" s="4"/>
      <c r="L42" s="4"/>
      <c r="P42" s="5"/>
      <c r="Q42" s="3"/>
    </row>
    <row r="43" spans="6:17" x14ac:dyDescent="0.4">
      <c r="F43" s="2"/>
      <c r="H43" s="3"/>
      <c r="I43" s="3"/>
      <c r="J43" s="4"/>
      <c r="K43" s="4"/>
      <c r="L43" s="4"/>
      <c r="P43" s="5"/>
      <c r="Q43" s="3"/>
    </row>
    <row r="44" spans="6:17" x14ac:dyDescent="0.4">
      <c r="F44" s="2"/>
      <c r="H44" s="3"/>
      <c r="I44" s="3"/>
      <c r="J44" s="4"/>
      <c r="K44" s="4"/>
      <c r="L44" s="4"/>
      <c r="P44" s="5"/>
    </row>
    <row r="45" spans="6:17" x14ac:dyDescent="0.4">
      <c r="F45" s="2"/>
      <c r="H45" s="3"/>
      <c r="I45" s="3"/>
      <c r="J45" s="4"/>
      <c r="K45" s="4"/>
      <c r="L45" s="4"/>
      <c r="P45" s="5"/>
    </row>
    <row r="46" spans="6:17" x14ac:dyDescent="0.4">
      <c r="F46" s="2"/>
      <c r="H46" s="3"/>
      <c r="I46" s="3"/>
      <c r="J46" s="4"/>
      <c r="K46" s="4"/>
      <c r="L46" s="4"/>
      <c r="P46" s="5"/>
    </row>
    <row r="47" spans="6:17" x14ac:dyDescent="0.4">
      <c r="F47" s="2"/>
      <c r="H47" s="3"/>
      <c r="I47" s="3"/>
      <c r="J47" s="4"/>
      <c r="K47" s="4"/>
      <c r="L47" s="4"/>
      <c r="P47" s="5"/>
      <c r="Q47" s="3"/>
    </row>
    <row r="48" spans="6:17" x14ac:dyDescent="0.4">
      <c r="F48" s="2"/>
      <c r="H48" s="3"/>
      <c r="I48" s="3"/>
      <c r="J48" s="4"/>
      <c r="K48" s="4"/>
      <c r="L48" s="4"/>
      <c r="P48" s="5"/>
      <c r="Q48" s="3"/>
    </row>
    <row r="49" spans="6:17" x14ac:dyDescent="0.4">
      <c r="F49" s="2"/>
      <c r="H49" s="3"/>
      <c r="I49" s="3"/>
      <c r="J49" s="4"/>
      <c r="K49" s="4"/>
      <c r="L49" s="4"/>
      <c r="P49" s="5"/>
      <c r="Q49" s="3"/>
    </row>
    <row r="50" spans="6:17" x14ac:dyDescent="0.4">
      <c r="F50" s="2"/>
      <c r="H50" s="3"/>
      <c r="I50" s="3"/>
      <c r="J50" s="4"/>
      <c r="K50" s="4"/>
      <c r="L50" s="4"/>
      <c r="P50" s="5"/>
      <c r="Q50" s="3"/>
    </row>
    <row r="51" spans="6:17" x14ac:dyDescent="0.4">
      <c r="F51" s="2"/>
      <c r="H51" s="3"/>
      <c r="I51" s="3"/>
      <c r="J51" s="4"/>
      <c r="K51" s="4"/>
      <c r="L51" s="4"/>
      <c r="P51" s="5"/>
      <c r="Q51" s="3"/>
    </row>
    <row r="52" spans="6:17" x14ac:dyDescent="0.4">
      <c r="F52" s="2"/>
      <c r="H52" s="3"/>
      <c r="I52" s="3"/>
      <c r="J52" s="4"/>
      <c r="K52" s="4"/>
      <c r="L52" s="4"/>
      <c r="P52" s="5"/>
      <c r="Q52" s="3"/>
    </row>
    <row r="53" spans="6:17" x14ac:dyDescent="0.4">
      <c r="F53" s="2"/>
      <c r="H53" s="3"/>
      <c r="I53" s="3"/>
      <c r="J53" s="4"/>
      <c r="K53" s="4"/>
      <c r="L53" s="4"/>
      <c r="P53" s="5"/>
    </row>
    <row r="54" spans="6:17" x14ac:dyDescent="0.4">
      <c r="F54" s="2"/>
      <c r="H54" s="3"/>
      <c r="I54" s="3"/>
      <c r="J54" s="4"/>
      <c r="K54" s="4"/>
      <c r="L54" s="4"/>
      <c r="P54" s="5"/>
    </row>
    <row r="55" spans="6:17" x14ac:dyDescent="0.4">
      <c r="F55" s="2"/>
      <c r="H55" s="3"/>
      <c r="I55" s="3"/>
      <c r="J55" s="4"/>
      <c r="K55" s="4"/>
      <c r="L55" s="4"/>
      <c r="P55" s="5"/>
      <c r="Q55" s="3"/>
    </row>
    <row r="56" spans="6:17" x14ac:dyDescent="0.4">
      <c r="F56" s="2"/>
      <c r="H56" s="3"/>
      <c r="I56" s="3"/>
      <c r="J56" s="4"/>
      <c r="K56" s="4"/>
      <c r="L56" s="4"/>
      <c r="P56" s="5"/>
      <c r="Q56" s="3"/>
    </row>
    <row r="57" spans="6:17" x14ac:dyDescent="0.4">
      <c r="F57" s="2"/>
      <c r="H57" s="3"/>
      <c r="I57" s="3"/>
      <c r="J57" s="4"/>
      <c r="K57" s="4"/>
      <c r="L57" s="4"/>
      <c r="P57" s="5"/>
      <c r="Q57" s="3"/>
    </row>
    <row r="58" spans="6:17" x14ac:dyDescent="0.4">
      <c r="F58" s="2"/>
      <c r="H58" s="3"/>
      <c r="I58" s="3"/>
      <c r="J58" s="4"/>
      <c r="K58" s="4"/>
      <c r="L58" s="4"/>
      <c r="P58" s="5"/>
    </row>
    <row r="59" spans="6:17" x14ac:dyDescent="0.4">
      <c r="F59" s="2"/>
      <c r="H59" s="3"/>
      <c r="I59" s="3"/>
      <c r="J59" s="4"/>
      <c r="K59" s="4"/>
      <c r="L59" s="4"/>
      <c r="P59" s="5"/>
      <c r="Q59" s="3"/>
    </row>
    <row r="60" spans="6:17" x14ac:dyDescent="0.4">
      <c r="F60" s="2"/>
      <c r="H60" s="3"/>
      <c r="I60" s="3"/>
      <c r="J60" s="4"/>
      <c r="K60" s="4"/>
      <c r="L60" s="4"/>
      <c r="P60" s="5"/>
    </row>
    <row r="61" spans="6:17" x14ac:dyDescent="0.4">
      <c r="F61" s="2"/>
      <c r="H61" s="3"/>
      <c r="I61" s="3"/>
      <c r="J61" s="4"/>
      <c r="K61" s="4"/>
      <c r="L61" s="4"/>
      <c r="P61" s="5"/>
    </row>
    <row r="62" spans="6:17" x14ac:dyDescent="0.4">
      <c r="F62" s="2"/>
      <c r="H62" s="3"/>
      <c r="I62" s="3"/>
      <c r="J62" s="4"/>
      <c r="K62" s="4"/>
      <c r="L62" s="4"/>
      <c r="P62" s="5"/>
      <c r="Q62" s="3"/>
    </row>
    <row r="63" spans="6:17" x14ac:dyDescent="0.4">
      <c r="F63" s="2"/>
      <c r="H63" s="3"/>
      <c r="I63" s="3"/>
      <c r="J63" s="4"/>
      <c r="K63" s="4"/>
      <c r="L63" s="4"/>
      <c r="P63" s="5"/>
    </row>
    <row r="64" spans="6:17" x14ac:dyDescent="0.4">
      <c r="F64" s="2"/>
      <c r="H64" s="3"/>
      <c r="I64" s="3"/>
      <c r="J64" s="4"/>
      <c r="K64" s="4"/>
      <c r="L64" s="4"/>
      <c r="P64" s="5"/>
    </row>
    <row r="65" spans="6:17" x14ac:dyDescent="0.4">
      <c r="F65" s="2"/>
      <c r="H65" s="3"/>
      <c r="I65" s="3"/>
      <c r="J65" s="4"/>
      <c r="K65" s="4"/>
      <c r="L65" s="4"/>
      <c r="P65" s="5"/>
      <c r="Q65" s="3"/>
    </row>
    <row r="66" spans="6:17" x14ac:dyDescent="0.4">
      <c r="F66" s="2"/>
      <c r="H66" s="3"/>
      <c r="I66" s="3"/>
      <c r="J66" s="4"/>
      <c r="K66" s="4"/>
      <c r="L66" s="4"/>
      <c r="P66" s="5"/>
    </row>
    <row r="67" spans="6:17" x14ac:dyDescent="0.4">
      <c r="F67" s="2"/>
      <c r="H67" s="3"/>
      <c r="I67" s="3"/>
      <c r="J67" s="4"/>
      <c r="K67" s="4"/>
      <c r="L67" s="4"/>
      <c r="P67" s="5"/>
      <c r="Q67" s="3"/>
    </row>
    <row r="68" spans="6:17" x14ac:dyDescent="0.4">
      <c r="F68" s="2"/>
      <c r="H68" s="3"/>
      <c r="I68" s="3"/>
      <c r="J68" s="4"/>
      <c r="K68" s="4"/>
      <c r="L68" s="4"/>
      <c r="P68" s="5"/>
    </row>
    <row r="69" spans="6:17" x14ac:dyDescent="0.4">
      <c r="F69" s="2"/>
      <c r="H69" s="3"/>
      <c r="I69" s="3"/>
      <c r="J69" s="4"/>
      <c r="K69" s="4"/>
      <c r="L69" s="4"/>
      <c r="P69" s="5"/>
    </row>
    <row r="70" spans="6:17" x14ac:dyDescent="0.4">
      <c r="F70" s="2"/>
      <c r="H70" s="3"/>
      <c r="I70" s="3"/>
      <c r="J70" s="4"/>
      <c r="K70" s="4"/>
      <c r="L70" s="4"/>
      <c r="P70" s="5"/>
    </row>
    <row r="71" spans="6:17" x14ac:dyDescent="0.4">
      <c r="F71" s="2"/>
      <c r="H71" s="3"/>
      <c r="I71" s="3"/>
      <c r="J71" s="4"/>
      <c r="K71" s="4"/>
      <c r="L71" s="4"/>
      <c r="P71" s="5"/>
    </row>
    <row r="72" spans="6:17" x14ac:dyDescent="0.4">
      <c r="F72" s="2"/>
      <c r="H72" s="3"/>
      <c r="I72" s="3"/>
      <c r="J72" s="4"/>
      <c r="K72" s="4"/>
      <c r="L72" s="4"/>
      <c r="P72" s="5"/>
    </row>
    <row r="73" spans="6:17" x14ac:dyDescent="0.4">
      <c r="F73" s="2"/>
      <c r="H73" s="3"/>
      <c r="I73" s="3"/>
      <c r="J73" s="4"/>
      <c r="K73" s="4"/>
      <c r="L73" s="4"/>
      <c r="P73" s="5"/>
    </row>
    <row r="74" spans="6:17" x14ac:dyDescent="0.4">
      <c r="F74" s="2"/>
      <c r="H74" s="3"/>
      <c r="I74" s="3"/>
      <c r="J74" s="4"/>
      <c r="K74" s="4"/>
      <c r="L74" s="4"/>
      <c r="P74" s="5"/>
    </row>
  </sheetData>
  <conditionalFormatting sqref="A1:XFD1048576">
    <cfRule type="expression" dxfId="0" priority="1">
      <formula>(AND(ISNUMBER(A1), NOT(_xlfn.ISFORMULA(A1)),NOT(ISBLANK(A1))))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A</vt:lpstr>
      <vt:lpstr>B</vt:lpstr>
      <vt:lpstr>C</vt:lpstr>
      <vt:lpstr>D</vt:lpstr>
      <vt:lpstr>E</vt:lpstr>
      <vt:lpstr>summary</vt:lpstr>
      <vt:lpstr>investment_tracker</vt:lpstr>
      <vt:lpstr>tape_pol</vt:lpstr>
      <vt:lpstr>tape_noble</vt:lpstr>
      <vt:lpstr>tape_ppm</vt:lpstr>
      <vt:lpstr>variables</vt:lpstr>
      <vt:lpstr>bor_address</vt:lpstr>
      <vt:lpstr>bor_city</vt:lpstr>
      <vt:lpstr>bor_fico</vt:lpstr>
      <vt:lpstr>bor_liq</vt:lpstr>
      <vt:lpstr>bor_name</vt:lpstr>
      <vt:lpstr>bor_state</vt:lpstr>
      <vt:lpstr>bor_zip</vt:lpstr>
      <vt:lpstr>draw_disbursed</vt:lpstr>
      <vt:lpstr>draw_remaining</vt:lpstr>
      <vt:lpstr>draw_total</vt:lpstr>
      <vt:lpstr>lender</vt:lpstr>
      <vt:lpstr>loan_exit_strat</vt:lpstr>
      <vt:lpstr>loan_id</vt:lpstr>
      <vt:lpstr>loan_ltaiv_ratio</vt:lpstr>
      <vt:lpstr>loan_ltarv_ratio</vt:lpstr>
      <vt:lpstr>loan_ltc_ratio</vt:lpstr>
      <vt:lpstr>loan_mat_date</vt:lpstr>
      <vt:lpstr>loan_opb</vt:lpstr>
      <vt:lpstr>loan_orig_date</vt:lpstr>
      <vt:lpstr>loan_term</vt:lpstr>
      <vt:lpstr>loan_total_draw</vt:lpstr>
      <vt:lpstr>loan_type</vt:lpstr>
      <vt:lpstr>loan_upb</vt:lpstr>
      <vt:lpstr>loans_position</vt:lpstr>
      <vt:lpstr>prop_address</vt:lpstr>
      <vt:lpstr>prop_aiv_ratio</vt:lpstr>
      <vt:lpstr>prop_arv_ratio</vt:lpstr>
      <vt:lpstr>prop_city</vt:lpstr>
      <vt:lpstr>prop_cost_basis</vt:lpstr>
      <vt:lpstr>prop_state</vt:lpstr>
      <vt:lpstr>prop_type</vt:lpstr>
      <vt:lpstr>prop_zip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Mauck</dc:creator>
  <cp:lastModifiedBy>Brian Mauck</cp:lastModifiedBy>
  <dcterms:created xsi:type="dcterms:W3CDTF">2020-04-26T03:01:37Z</dcterms:created>
  <dcterms:modified xsi:type="dcterms:W3CDTF">2020-05-06T20:22:44Z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ddress" linkTarget="prop_address">
    <vt:lpwstr/>
  </property>
  <property fmtid="{D5CDD505-2E9C-101B-9397-08002B2CF9AE}" pid="3" name="aiv_ratio" linkTarget="prop_aiv_ratio">
    <vt:lpwstr/>
  </property>
  <property fmtid="{D5CDD505-2E9C-101B-9397-08002B2CF9AE}" pid="4" name="arv_ratio" linkTarget="prop_arv_ratio">
    <vt:lpwstr/>
  </property>
  <property fmtid="{D5CDD505-2E9C-101B-9397-08002B2CF9AE}" pid="5" name="city" linkTarget="prop_city">
    <vt:lpwstr/>
  </property>
  <property fmtid="{D5CDD505-2E9C-101B-9397-08002B2CF9AE}" pid="6" name="cost_basis" linkTarget="prop_cost_basis">
    <vt:lpwstr/>
  </property>
  <property fmtid="{D5CDD505-2E9C-101B-9397-08002B2CF9AE}" pid="7" name="state" linkTarget="prop_state">
    <vt:lpwstr/>
  </property>
  <property fmtid="{D5CDD505-2E9C-101B-9397-08002B2CF9AE}" pid="8" name="type" linkTarget="prop_type">
    <vt:lpwstr/>
  </property>
  <property fmtid="{D5CDD505-2E9C-101B-9397-08002B2CF9AE}" pid="9" name="zip" linkTarget="prop_zip">
    <vt:lpwstr/>
  </property>
</Properties>
</file>